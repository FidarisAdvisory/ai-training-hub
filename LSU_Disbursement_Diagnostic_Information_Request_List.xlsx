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est Tracker" sheetId="2" state="visible" r:id="rId2"/>
    <sheet name="Summary" sheetId="3" state="visible" r:id="rId3"/>
  </sheets>
  <definedNames>
    <definedName name="_xlnm._FilterDatabase" localSheetId="1" hidden="1">'Request Tracker'!$A$2:$J$91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A5F"/>
      <sz val="18"/>
    </font>
    <font>
      <name val="Calibri"/>
      <b val="1"/>
      <color rgb="002E7D9A"/>
      <sz val="12"/>
    </font>
    <font>
      <name val="Calibri"/>
      <i val="1"/>
      <color rgb="00666666"/>
      <sz val="10"/>
    </font>
    <font>
      <name val="Calibri"/>
      <b val="1"/>
      <color rgb="001F3A5F"/>
      <sz val="11"/>
    </font>
    <font>
      <name val="Calibri"/>
      <color rgb="00333333"/>
      <sz val="10"/>
    </font>
    <font>
      <name val="Calibri"/>
      <b val="1"/>
      <color rgb="00FFFFFF"/>
      <sz val="14"/>
    </font>
    <font>
      <name val="Calibri"/>
      <b val="1"/>
      <color rgb="00FFFFFF"/>
      <sz val="10"/>
    </font>
    <font>
      <name val="Calibri"/>
      <color rgb="00222222"/>
      <sz val="10"/>
    </font>
    <font>
      <name val="Calibri"/>
      <b val="1"/>
      <color rgb="00222222"/>
      <sz val="10"/>
    </font>
    <font>
      <name val="Calibri"/>
      <b val="1"/>
      <color rgb="001F3A5F"/>
      <sz val="14"/>
    </font>
    <font>
      <b val="1"/>
      <color rgb="002E7D9A"/>
    </font>
    <font>
      <b val="1"/>
    </font>
  </fonts>
  <fills count="8">
    <fill>
      <patternFill/>
    </fill>
    <fill>
      <patternFill patternType="gray125"/>
    </fill>
    <fill>
      <patternFill patternType="solid">
        <fgColor rgb="001F3A5F"/>
      </patternFill>
    </fill>
    <fill>
      <patternFill patternType="solid">
        <fgColor rgb="002E7D9A"/>
      </patternFill>
    </fill>
    <fill>
      <patternFill patternType="solid">
        <fgColor rgb="00F8CBAD"/>
      </patternFill>
    </fill>
    <fill>
      <patternFill patternType="solid">
        <fgColor rgb="00F5F8FA"/>
      </patternFill>
    </fill>
    <fill>
      <patternFill patternType="solid">
        <fgColor rgb="00FFE699"/>
      </patternFill>
    </fill>
    <fill>
      <patternFill patternType="solid">
        <fgColor rgb="00C6E0B4"/>
      </patternFill>
    </fill>
  </fills>
  <borders count="2">
    <border>
      <left/>
      <right/>
      <top/>
      <bottom/>
      <diagonal/>
    </border>
    <border>
      <left style="thin">
        <color rgb="00C9D4DD"/>
      </left>
      <right style="thin">
        <color rgb="00C9D4DD"/>
      </right>
      <top style="thin">
        <color rgb="00C9D4DD"/>
      </top>
      <bottom style="thin">
        <color rgb="00C9D4DD"/>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left" vertical="center" indent="1"/>
    </xf>
    <xf numFmtId="0" fontId="7" fillId="3" borderId="1" applyAlignment="1" pivotButton="0" quotePrefix="0" xfId="0">
      <alignment horizontal="center" vertical="center" wrapTex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9" fillId="4" borderId="1" applyAlignment="1" pivotButton="0" quotePrefix="0" xfId="0">
      <alignment horizontal="center" vertical="top"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9" fillId="6" borderId="1" applyAlignment="1" pivotButton="0" quotePrefix="0" xfId="0">
      <alignment horizontal="center" vertical="top" wrapText="1"/>
    </xf>
    <xf numFmtId="0" fontId="9" fillId="7" borderId="1" applyAlignment="1" pivotButton="0" quotePrefix="0" xfId="0">
      <alignment horizontal="center" vertical="top" wrapText="1"/>
    </xf>
    <xf numFmtId="0" fontId="10" fillId="0" borderId="0" pivotButton="0" quotePrefix="0" xfId="0"/>
    <xf numFmtId="0" fontId="11" fillId="0" borderId="0" pivotButton="0" quotePrefix="0" xfId="0"/>
    <xf numFmtId="0" fontId="12" fillId="0" borderId="0" pivotButton="0" quotePrefix="0" xfId="0"/>
    <xf numFmtId="0" fontId="0" fillId="4" borderId="0" pivotButton="0" quotePrefix="0" xfId="0"/>
    <xf numFmtId="0" fontId="0" fillId="6" borderId="0" pivotButton="0" quotePrefix="0" xfId="0"/>
    <xf numFmtId="0" fontId="0" fillId="7"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2" customWidth="1" min="1" max="1"/>
    <col width="110" customWidth="1" min="2" max="2"/>
  </cols>
  <sheetData>
    <row r="2">
      <c r="B2" s="1" t="inlineStr">
        <is>
          <t>LSU Project — Disbursement Process Diagnostic</t>
        </is>
      </c>
    </row>
    <row r="3">
      <c r="B3" s="2" t="inlineStr">
        <is>
          <t>Information / Document Request List  (PBC — Provided By Client)</t>
        </is>
      </c>
    </row>
    <row r="5">
      <c r="B5" s="3" t="inlineStr">
        <is>
          <t>Prepared by Fidaris Advisory</t>
        </is>
      </c>
    </row>
    <row r="7">
      <c r="B7" s="4" t="inlineStr">
        <is>
          <t>How to use this workbook</t>
        </is>
      </c>
    </row>
    <row r="8">
      <c r="B8" s="5" t="inlineStr">
        <is>
          <t>• The 'Request Tracker' tab is the master log. Share it with the client's finance lead to manage fulfillment.</t>
        </is>
      </c>
    </row>
    <row r="9">
      <c r="B9" s="5" t="inlineStr">
        <is>
          <t>• Each row is one requested item. Use the Status / Received columns to track progress as items arrive.</t>
        </is>
      </c>
    </row>
    <row r="10">
      <c r="B10" s="5" t="inlineStr">
        <is>
          <t>• 'Owner / Interviewee' indicates the likely process owner — use it to scope and schedule walkthrough interviews.</t>
        </is>
      </c>
    </row>
    <row r="11">
      <c r="B11" s="5" t="inlineStr">
        <is>
          <t>• Request the CURRENT version of every policy/procedure AND the version in force during the audit period.</t>
        </is>
      </c>
    </row>
    <row r="12">
      <c r="B12" s="5" t="inlineStr">
        <is>
          <t>• Filter by 'Category' to organize requests, or by 'Priority' to sequence the early-phase asks.</t>
        </is>
      </c>
    </row>
    <row r="13">
      <c r="B13" s="5" t="inlineStr"/>
    </row>
    <row r="14">
      <c r="B14" s="4" t="inlineStr">
        <is>
          <t>Column key</t>
        </is>
      </c>
    </row>
    <row r="15">
      <c r="B15" s="5" t="inlineStr">
        <is>
          <t>Type:  P = Policy   |   D = Document/Record   |   S = System/Application   |   O = Org/People</t>
        </is>
      </c>
    </row>
    <row r="16">
      <c r="B16" s="5" t="inlineStr">
        <is>
          <t>Priority:  High = needed to start mapping/walkthroughs   |   Medium = needed for testing   |   Low = supporting/context</t>
        </is>
      </c>
    </row>
    <row r="17">
      <c r="B17" s="5" t="inlineStr">
        <is>
          <t>Status:  Not Started / Requested / Received / Partial / N/A</t>
        </is>
      </c>
    </row>
    <row r="18">
      <c r="B18" s="5" t="inlineStr"/>
    </row>
    <row r="19">
      <c r="B19" s="4" t="inlineStr">
        <is>
          <t>Scoping inputs still to confirm</t>
        </is>
      </c>
    </row>
    <row r="20">
      <c r="B20" s="5" t="inlineStr">
        <is>
          <t>• Disbursement type(s): vendor/AP, payroll, grants/sub-awards, scholarships, program/beneficiary payments.</t>
        </is>
      </c>
    </row>
    <row r="21">
      <c r="B21" s="5" t="inlineStr">
        <is>
          <t>• Federal funds involved? If yes, Uniform Guidance (2 CFR 200) / Single Audit items apply.</t>
        </is>
      </c>
    </row>
    <row r="22">
      <c r="B22" s="5" t="inlineStr">
        <is>
          <t>• Accounting system(s) in use (e.g., QuickBooks, Blackbaud, MIP, Sage Intacct, NetSuite).</t>
        </is>
      </c>
    </row>
    <row r="23">
      <c r="B23" s="5" t="inlineStr">
        <is>
          <t>• Audit / review period (start and end 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60" customWidth="1" min="3" max="3"/>
    <col width="7" customWidth="1" min="4" max="4"/>
    <col width="26" customWidth="1" min="5" max="5"/>
    <col width="10" customWidth="1" min="6" max="6"/>
    <col width="13" customWidth="1" min="7" max="7"/>
    <col width="15" customWidth="1" min="8" max="8"/>
    <col width="15" customWidth="1" min="9" max="9"/>
    <col width="34" customWidth="1" min="10" max="10"/>
  </cols>
  <sheetData>
    <row r="1" ht="28" customHeight="1">
      <c r="A1" s="6" t="inlineStr">
        <is>
          <t>Disbursement Diagnostic — Information Request Tracker</t>
        </is>
      </c>
    </row>
    <row r="2" ht="30" customHeight="1">
      <c r="A2" s="7" t="inlineStr">
        <is>
          <t>ID</t>
        </is>
      </c>
      <c r="B2" s="7" t="inlineStr">
        <is>
          <t>Category</t>
        </is>
      </c>
      <c r="C2" s="7" t="inlineStr">
        <is>
          <t>Item Requested</t>
        </is>
      </c>
      <c r="D2" s="7" t="inlineStr">
        <is>
          <t>Type</t>
        </is>
      </c>
      <c r="E2" s="7" t="inlineStr">
        <is>
          <t>Owner / Interviewee</t>
        </is>
      </c>
      <c r="F2" s="7" t="inlineStr">
        <is>
          <t>Priority</t>
        </is>
      </c>
      <c r="G2" s="7" t="inlineStr">
        <is>
          <t>Status</t>
        </is>
      </c>
      <c r="H2" s="7" t="inlineStr">
        <is>
          <t>Date Requested</t>
        </is>
      </c>
      <c r="I2" s="7" t="inlineStr">
        <is>
          <t>Date Received</t>
        </is>
      </c>
      <c r="J2" s="7" t="inlineStr">
        <is>
          <t>Notes / Follow-up</t>
        </is>
      </c>
    </row>
    <row r="3">
      <c r="A3" s="8" t="n">
        <v>1</v>
      </c>
      <c r="B3" s="9" t="inlineStr">
        <is>
          <t>1. Governance, Policies &amp; Authority</t>
        </is>
      </c>
      <c r="C3" s="9" t="inlineStr">
        <is>
          <t>Disbursement / cash disbursement policy</t>
        </is>
      </c>
      <c r="D3" s="8" t="inlineStr">
        <is>
          <t>P</t>
        </is>
      </c>
      <c r="E3" s="9" t="inlineStr">
        <is>
          <t>CFO / Controller</t>
        </is>
      </c>
      <c r="F3" s="10" t="inlineStr">
        <is>
          <t>High</t>
        </is>
      </c>
      <c r="G3" s="8" t="inlineStr">
        <is>
          <t>Not Started</t>
        </is>
      </c>
      <c r="H3" s="9" t="inlineStr"/>
      <c r="I3" s="9" t="inlineStr"/>
      <c r="J3" s="9" t="inlineStr"/>
    </row>
    <row r="4">
      <c r="A4" s="11" t="n">
        <v>2</v>
      </c>
      <c r="B4" s="12" t="inlineStr">
        <is>
          <t>1. Governance, Policies &amp; Authority</t>
        </is>
      </c>
      <c r="C4" s="12" t="inlineStr">
        <is>
          <t>Accounts payable (AP) policy and procedures</t>
        </is>
      </c>
      <c r="D4" s="11" t="inlineStr">
        <is>
          <t>P</t>
        </is>
      </c>
      <c r="E4" s="12" t="inlineStr">
        <is>
          <t>Controller / AP Mgr</t>
        </is>
      </c>
      <c r="F4" s="10" t="inlineStr">
        <is>
          <t>High</t>
        </is>
      </c>
      <c r="G4" s="11" t="inlineStr">
        <is>
          <t>Not Started</t>
        </is>
      </c>
      <c r="H4" s="12" t="inlineStr"/>
      <c r="I4" s="12" t="inlineStr"/>
      <c r="J4" s="12" t="inlineStr"/>
    </row>
    <row r="5">
      <c r="A5" s="8" t="n">
        <v>3</v>
      </c>
      <c r="B5" s="9" t="inlineStr">
        <is>
          <t>1. Governance, Policies &amp; Authority</t>
        </is>
      </c>
      <c r="C5" s="9" t="inlineStr">
        <is>
          <t>Delegation of authority / approval matrix (dollar thresholds by role)</t>
        </is>
      </c>
      <c r="D5" s="8" t="inlineStr">
        <is>
          <t>P</t>
        </is>
      </c>
      <c r="E5" s="9" t="inlineStr">
        <is>
          <t>CFO</t>
        </is>
      </c>
      <c r="F5" s="10" t="inlineStr">
        <is>
          <t>High</t>
        </is>
      </c>
      <c r="G5" s="8" t="inlineStr">
        <is>
          <t>Not Started</t>
        </is>
      </c>
      <c r="H5" s="9" t="inlineStr"/>
      <c r="I5" s="9" t="inlineStr"/>
      <c r="J5" s="9" t="inlineStr"/>
    </row>
    <row r="6">
      <c r="A6" s="11" t="n">
        <v>4</v>
      </c>
      <c r="B6" s="12" t="inlineStr">
        <is>
          <t>1. Governance, Policies &amp; Authority</t>
        </is>
      </c>
      <c r="C6" s="12" t="inlineStr">
        <is>
          <t>Signature authority policy (dual-signature thresholds, facsimile controls)</t>
        </is>
      </c>
      <c r="D6" s="11" t="inlineStr">
        <is>
          <t>P</t>
        </is>
      </c>
      <c r="E6" s="12" t="inlineStr">
        <is>
          <t>CFO / Treasurer</t>
        </is>
      </c>
      <c r="F6" s="10" t="inlineStr">
        <is>
          <t>High</t>
        </is>
      </c>
      <c r="G6" s="11" t="inlineStr">
        <is>
          <t>Not Started</t>
        </is>
      </c>
      <c r="H6" s="12" t="inlineStr"/>
      <c r="I6" s="12" t="inlineStr"/>
      <c r="J6" s="12" t="inlineStr"/>
    </row>
    <row r="7">
      <c r="A7" s="8" t="n">
        <v>5</v>
      </c>
      <c r="B7" s="9" t="inlineStr">
        <is>
          <t>1. Governance, Policies &amp; Authority</t>
        </is>
      </c>
      <c r="C7" s="9" t="inlineStr">
        <is>
          <t>Procurement / purchasing policy</t>
        </is>
      </c>
      <c r="D7" s="8" t="inlineStr">
        <is>
          <t>P</t>
        </is>
      </c>
      <c r="E7" s="9" t="inlineStr">
        <is>
          <t>Procurement / Ops</t>
        </is>
      </c>
      <c r="F7" s="10" t="inlineStr">
        <is>
          <t>High</t>
        </is>
      </c>
      <c r="G7" s="8" t="inlineStr">
        <is>
          <t>Not Started</t>
        </is>
      </c>
      <c r="H7" s="9" t="inlineStr"/>
      <c r="I7" s="9" t="inlineStr"/>
      <c r="J7" s="9" t="inlineStr"/>
    </row>
    <row r="8">
      <c r="A8" s="11" t="n">
        <v>6</v>
      </c>
      <c r="B8" s="12" t="inlineStr">
        <is>
          <t>1. Governance, Policies &amp; Authority</t>
        </is>
      </c>
      <c r="C8" s="12" t="inlineStr">
        <is>
          <t>Expense reimbursement &amp; travel policy</t>
        </is>
      </c>
      <c r="D8" s="11" t="inlineStr">
        <is>
          <t>P</t>
        </is>
      </c>
      <c r="E8" s="12" t="inlineStr">
        <is>
          <t>Controller</t>
        </is>
      </c>
      <c r="F8" s="13" t="inlineStr">
        <is>
          <t>Medium</t>
        </is>
      </c>
      <c r="G8" s="11" t="inlineStr">
        <is>
          <t>Not Started</t>
        </is>
      </c>
      <c r="H8" s="12" t="inlineStr"/>
      <c r="I8" s="12" t="inlineStr"/>
      <c r="J8" s="12" t="inlineStr"/>
    </row>
    <row r="9">
      <c r="A9" s="8" t="n">
        <v>7</v>
      </c>
      <c r="B9" s="9" t="inlineStr">
        <is>
          <t>1. Governance, Policies &amp; Authority</t>
        </is>
      </c>
      <c r="C9" s="9" t="inlineStr">
        <is>
          <t>Corporate credit card / P-card policy</t>
        </is>
      </c>
      <c r="D9" s="8" t="inlineStr">
        <is>
          <t>P</t>
        </is>
      </c>
      <c r="E9" s="9" t="inlineStr">
        <is>
          <t>Controller</t>
        </is>
      </c>
      <c r="F9" s="13" t="inlineStr">
        <is>
          <t>Medium</t>
        </is>
      </c>
      <c r="G9" s="8" t="inlineStr">
        <is>
          <t>Not Started</t>
        </is>
      </c>
      <c r="H9" s="9" t="inlineStr"/>
      <c r="I9" s="9" t="inlineStr"/>
      <c r="J9" s="9" t="inlineStr"/>
    </row>
    <row r="10">
      <c r="A10" s="11" t="n">
        <v>8</v>
      </c>
      <c r="B10" s="12" t="inlineStr">
        <is>
          <t>1. Governance, Policies &amp; Authority</t>
        </is>
      </c>
      <c r="C10" s="12" t="inlineStr">
        <is>
          <t>Conflict of interest policy + most recent signed disclosures</t>
        </is>
      </c>
      <c r="D10" s="11" t="inlineStr">
        <is>
          <t>P</t>
        </is>
      </c>
      <c r="E10" s="12" t="inlineStr">
        <is>
          <t>CFO / Board Sec.</t>
        </is>
      </c>
      <c r="F10" s="13" t="inlineStr">
        <is>
          <t>Medium</t>
        </is>
      </c>
      <c r="G10" s="11" t="inlineStr">
        <is>
          <t>Not Started</t>
        </is>
      </c>
      <c r="H10" s="12" t="inlineStr"/>
      <c r="I10" s="12" t="inlineStr"/>
      <c r="J10" s="12" t="inlineStr"/>
    </row>
    <row r="11">
      <c r="A11" s="8" t="n">
        <v>9</v>
      </c>
      <c r="B11" s="9" t="inlineStr">
        <is>
          <t>1. Governance, Policies &amp; Authority</t>
        </is>
      </c>
      <c r="C11" s="9" t="inlineStr">
        <is>
          <t>Whistleblower / fraud reporting policy</t>
        </is>
      </c>
      <c r="D11" s="8" t="inlineStr">
        <is>
          <t>P</t>
        </is>
      </c>
      <c r="E11" s="9" t="inlineStr">
        <is>
          <t>Audit Committee</t>
        </is>
      </c>
      <c r="F11" s="13" t="inlineStr">
        <is>
          <t>Medium</t>
        </is>
      </c>
      <c r="G11" s="8" t="inlineStr">
        <is>
          <t>Not Started</t>
        </is>
      </c>
      <c r="H11" s="9" t="inlineStr"/>
      <c r="I11" s="9" t="inlineStr"/>
      <c r="J11" s="9" t="inlineStr"/>
    </row>
    <row r="12">
      <c r="A12" s="11" t="n">
        <v>10</v>
      </c>
      <c r="B12" s="12" t="inlineStr">
        <is>
          <t>1. Governance, Policies &amp; Authority</t>
        </is>
      </c>
      <c r="C12" s="12" t="inlineStr">
        <is>
          <t>Code of conduct / ethics policy</t>
        </is>
      </c>
      <c r="D12" s="11" t="inlineStr">
        <is>
          <t>P</t>
        </is>
      </c>
      <c r="E12" s="12" t="inlineStr">
        <is>
          <t>HR / Exec</t>
        </is>
      </c>
      <c r="F12" s="14" t="inlineStr">
        <is>
          <t>Low</t>
        </is>
      </c>
      <c r="G12" s="11" t="inlineStr">
        <is>
          <t>Not Started</t>
        </is>
      </c>
      <c r="H12" s="12" t="inlineStr"/>
      <c r="I12" s="12" t="inlineStr"/>
      <c r="J12" s="12" t="inlineStr"/>
    </row>
    <row r="13">
      <c r="A13" s="8" t="n">
        <v>11</v>
      </c>
      <c r="B13" s="9" t="inlineStr">
        <is>
          <t>1. Governance, Policies &amp; Authority</t>
        </is>
      </c>
      <c r="C13" s="9" t="inlineStr">
        <is>
          <t>Vendor management / new vendor onboarding policy</t>
        </is>
      </c>
      <c r="D13" s="8" t="inlineStr">
        <is>
          <t>P</t>
        </is>
      </c>
      <c r="E13" s="9" t="inlineStr">
        <is>
          <t>AP Mgr</t>
        </is>
      </c>
      <c r="F13" s="10" t="inlineStr">
        <is>
          <t>High</t>
        </is>
      </c>
      <c r="G13" s="8" t="inlineStr">
        <is>
          <t>Not Started</t>
        </is>
      </c>
      <c r="H13" s="9" t="inlineStr"/>
      <c r="I13" s="9" t="inlineStr"/>
      <c r="J13" s="9" t="inlineStr"/>
    </row>
    <row r="14">
      <c r="A14" s="11" t="n">
        <v>12</v>
      </c>
      <c r="B14" s="12" t="inlineStr">
        <is>
          <t>1. Governance, Policies &amp; Authority</t>
        </is>
      </c>
      <c r="C14" s="12" t="inlineStr">
        <is>
          <t>Gift acceptance &amp; restricted-funds spending policy</t>
        </is>
      </c>
      <c r="D14" s="11" t="inlineStr">
        <is>
          <t>P</t>
        </is>
      </c>
      <c r="E14" s="12" t="inlineStr">
        <is>
          <t>CFO / Dev.</t>
        </is>
      </c>
      <c r="F14" s="13" t="inlineStr">
        <is>
          <t>Medium</t>
        </is>
      </c>
      <c r="G14" s="11" t="inlineStr">
        <is>
          <t>Not Started</t>
        </is>
      </c>
      <c r="H14" s="12" t="inlineStr"/>
      <c r="I14" s="12" t="inlineStr"/>
      <c r="J14" s="12" t="inlineStr"/>
    </row>
    <row r="15">
      <c r="A15" s="8" t="n">
        <v>13</v>
      </c>
      <c r="B15" s="9" t="inlineStr">
        <is>
          <t>1. Governance, Policies &amp; Authority</t>
        </is>
      </c>
      <c r="C15" s="9" t="inlineStr">
        <is>
          <t>Grant / sub-recipient disbursement policy (if applicable)</t>
        </is>
      </c>
      <c r="D15" s="8" t="inlineStr">
        <is>
          <t>P</t>
        </is>
      </c>
      <c r="E15" s="9" t="inlineStr">
        <is>
          <t>Grants Mgr</t>
        </is>
      </c>
      <c r="F15" s="13" t="inlineStr">
        <is>
          <t>Medium</t>
        </is>
      </c>
      <c r="G15" s="8" t="inlineStr">
        <is>
          <t>Not Started</t>
        </is>
      </c>
      <c r="H15" s="9" t="inlineStr"/>
      <c r="I15" s="9" t="inlineStr"/>
      <c r="J15" s="9" t="inlineStr"/>
    </row>
    <row r="16">
      <c r="A16" s="11" t="n">
        <v>14</v>
      </c>
      <c r="B16" s="12" t="inlineStr">
        <is>
          <t>1. Governance, Policies &amp; Authority</t>
        </is>
      </c>
      <c r="C16" s="12" t="inlineStr">
        <is>
          <t>Records retention / document destruction policy</t>
        </is>
      </c>
      <c r="D16" s="11" t="inlineStr">
        <is>
          <t>P</t>
        </is>
      </c>
      <c r="E16" s="12" t="inlineStr">
        <is>
          <t>Controller</t>
        </is>
      </c>
      <c r="F16" s="14" t="inlineStr">
        <is>
          <t>Low</t>
        </is>
      </c>
      <c r="G16" s="11" t="inlineStr">
        <is>
          <t>Not Started</t>
        </is>
      </c>
      <c r="H16" s="12" t="inlineStr"/>
      <c r="I16" s="12" t="inlineStr"/>
      <c r="J16" s="12" t="inlineStr"/>
    </row>
    <row r="17">
      <c r="A17" s="8" t="n">
        <v>15</v>
      </c>
      <c r="B17" s="9" t="inlineStr">
        <is>
          <t>1. Governance, Policies &amp; Authority</t>
        </is>
      </c>
      <c r="C17" s="9" t="inlineStr">
        <is>
          <t>Segregation of duties policy or matrix</t>
        </is>
      </c>
      <c r="D17" s="8" t="inlineStr">
        <is>
          <t>P</t>
        </is>
      </c>
      <c r="E17" s="9" t="inlineStr">
        <is>
          <t>Controller</t>
        </is>
      </c>
      <c r="F17" s="10" t="inlineStr">
        <is>
          <t>High</t>
        </is>
      </c>
      <c r="G17" s="8" t="inlineStr">
        <is>
          <t>Not Started</t>
        </is>
      </c>
      <c r="H17" s="9" t="inlineStr"/>
      <c r="I17" s="9" t="inlineStr"/>
      <c r="J17" s="9" t="inlineStr"/>
    </row>
    <row r="18">
      <c r="A18" s="11" t="n">
        <v>16</v>
      </c>
      <c r="B18" s="12" t="inlineStr">
        <is>
          <t>1. Governance, Policies &amp; Authority</t>
        </is>
      </c>
      <c r="C18" s="12" t="inlineStr">
        <is>
          <t>Board and Finance/Audit Committee charters</t>
        </is>
      </c>
      <c r="D18" s="11" t="inlineStr">
        <is>
          <t>D</t>
        </is>
      </c>
      <c r="E18" s="12" t="inlineStr">
        <is>
          <t>Board Sec.</t>
        </is>
      </c>
      <c r="F18" s="14" t="inlineStr">
        <is>
          <t>Low</t>
        </is>
      </c>
      <c r="G18" s="11" t="inlineStr">
        <is>
          <t>Not Started</t>
        </is>
      </c>
      <c r="H18" s="12" t="inlineStr"/>
      <c r="I18" s="12" t="inlineStr"/>
      <c r="J18" s="12" t="inlineStr"/>
    </row>
    <row r="19">
      <c r="A19" s="8" t="n">
        <v>17</v>
      </c>
      <c r="B19" s="9" t="inlineStr">
        <is>
          <t>1. Governance, Policies &amp; Authority</t>
        </is>
      </c>
      <c r="C19" s="9" t="inlineStr">
        <is>
          <t>Board/Finance Committee minutes re: controls, budget, large spend (period)</t>
        </is>
      </c>
      <c r="D19" s="8" t="inlineStr">
        <is>
          <t>D</t>
        </is>
      </c>
      <c r="E19" s="9" t="inlineStr">
        <is>
          <t>Board Sec.</t>
        </is>
      </c>
      <c r="F19" s="13" t="inlineStr">
        <is>
          <t>Medium</t>
        </is>
      </c>
      <c r="G19" s="8" t="inlineStr">
        <is>
          <t>Not Started</t>
        </is>
      </c>
      <c r="H19" s="9" t="inlineStr"/>
      <c r="I19" s="9" t="inlineStr"/>
      <c r="J19" s="9" t="inlineStr"/>
    </row>
    <row r="20">
      <c r="A20" s="11" t="n">
        <v>18</v>
      </c>
      <c r="B20" s="12" t="inlineStr">
        <is>
          <t>1. Governance, Policies &amp; Authority</t>
        </is>
      </c>
      <c r="C20" s="12" t="inlineStr">
        <is>
          <t>Bylaws sections governing financial authority and spending limits</t>
        </is>
      </c>
      <c r="D20" s="11" t="inlineStr">
        <is>
          <t>D</t>
        </is>
      </c>
      <c r="E20" s="12" t="inlineStr">
        <is>
          <t>Board Sec.</t>
        </is>
      </c>
      <c r="F20" s="14" t="inlineStr">
        <is>
          <t>Low</t>
        </is>
      </c>
      <c r="G20" s="11" t="inlineStr">
        <is>
          <t>Not Started</t>
        </is>
      </c>
      <c r="H20" s="12" t="inlineStr"/>
      <c r="I20" s="12" t="inlineStr"/>
      <c r="J20" s="12" t="inlineStr"/>
    </row>
    <row r="21">
      <c r="A21" s="8" t="n">
        <v>19</v>
      </c>
      <c r="B21" s="9" t="inlineStr">
        <is>
          <t>2. Process &amp; Procedure Documentation</t>
        </is>
      </c>
      <c r="C21" s="9" t="inlineStr">
        <is>
          <t>Process narratives/SOPs: requisition→PO→receipt→invoice→approval→payment</t>
        </is>
      </c>
      <c r="D21" s="8" t="inlineStr">
        <is>
          <t>D</t>
        </is>
      </c>
      <c r="E21" s="9" t="inlineStr">
        <is>
          <t>AP Mgr / Controller</t>
        </is>
      </c>
      <c r="F21" s="10" t="inlineStr">
        <is>
          <t>High</t>
        </is>
      </c>
      <c r="G21" s="8" t="inlineStr">
        <is>
          <t>Not Started</t>
        </is>
      </c>
      <c r="H21" s="9" t="inlineStr"/>
      <c r="I21" s="9" t="inlineStr"/>
      <c r="J21" s="9" t="inlineStr"/>
    </row>
    <row r="22">
      <c r="A22" s="11" t="n">
        <v>20</v>
      </c>
      <c r="B22" s="12" t="inlineStr">
        <is>
          <t>2. Process &amp; Procedure Documentation</t>
        </is>
      </c>
      <c r="C22" s="12" t="inlineStr">
        <is>
          <t>Process flowcharts / swim-lane diagrams (if they exist)</t>
        </is>
      </c>
      <c r="D22" s="11" t="inlineStr">
        <is>
          <t>D</t>
        </is>
      </c>
      <c r="E22" s="12" t="inlineStr">
        <is>
          <t>Controller</t>
        </is>
      </c>
      <c r="F22" s="10" t="inlineStr">
        <is>
          <t>High</t>
        </is>
      </c>
      <c r="G22" s="11" t="inlineStr">
        <is>
          <t>Not Started</t>
        </is>
      </c>
      <c r="H22" s="12" t="inlineStr"/>
      <c r="I22" s="12" t="inlineStr"/>
      <c r="J22" s="12" t="inlineStr"/>
    </row>
    <row r="23">
      <c r="A23" s="8" t="n">
        <v>21</v>
      </c>
      <c r="B23" s="9" t="inlineStr">
        <is>
          <t>2. Process &amp; Procedure Documentation</t>
        </is>
      </c>
      <c r="C23" s="9" t="inlineStr">
        <is>
          <t>Check-run procedures and schedule (frequency, cutoffs)</t>
        </is>
      </c>
      <c r="D23" s="8" t="inlineStr">
        <is>
          <t>D</t>
        </is>
      </c>
      <c r="E23" s="9" t="inlineStr">
        <is>
          <t>AP Mgr</t>
        </is>
      </c>
      <c r="F23" s="13" t="inlineStr">
        <is>
          <t>Medium</t>
        </is>
      </c>
      <c r="G23" s="8" t="inlineStr">
        <is>
          <t>Not Started</t>
        </is>
      </c>
      <c r="H23" s="9" t="inlineStr"/>
      <c r="I23" s="9" t="inlineStr"/>
      <c r="J23" s="9" t="inlineStr"/>
    </row>
    <row r="24">
      <c r="A24" s="11" t="n">
        <v>22</v>
      </c>
      <c r="B24" s="12" t="inlineStr">
        <is>
          <t>2. Process &amp; Procedure Documentation</t>
        </is>
      </c>
      <c r="C24" s="12" t="inlineStr">
        <is>
          <t>ACH / wire / electronic payment procedures</t>
        </is>
      </c>
      <c r="D24" s="11" t="inlineStr">
        <is>
          <t>D</t>
        </is>
      </c>
      <c r="E24" s="12" t="inlineStr">
        <is>
          <t>Treasury / Controller</t>
        </is>
      </c>
      <c r="F24" s="10" t="inlineStr">
        <is>
          <t>High</t>
        </is>
      </c>
      <c r="G24" s="11" t="inlineStr">
        <is>
          <t>Not Started</t>
        </is>
      </c>
      <c r="H24" s="12" t="inlineStr"/>
      <c r="I24" s="12" t="inlineStr"/>
      <c r="J24" s="12" t="inlineStr"/>
    </row>
    <row r="25">
      <c r="A25" s="8" t="n">
        <v>23</v>
      </c>
      <c r="B25" s="9" t="inlineStr">
        <is>
          <t>2. Process &amp; Procedure Documentation</t>
        </is>
      </c>
      <c r="C25" s="9" t="inlineStr">
        <is>
          <t>Petty cash procedures and custodian list</t>
        </is>
      </c>
      <c r="D25" s="8" t="inlineStr">
        <is>
          <t>D</t>
        </is>
      </c>
      <c r="E25" s="9" t="inlineStr">
        <is>
          <t>AP Mgr</t>
        </is>
      </c>
      <c r="F25" s="14" t="inlineStr">
        <is>
          <t>Low</t>
        </is>
      </c>
      <c r="G25" s="8" t="inlineStr">
        <is>
          <t>Not Started</t>
        </is>
      </c>
      <c r="H25" s="9" t="inlineStr"/>
      <c r="I25" s="9" t="inlineStr"/>
      <c r="J25" s="9" t="inlineStr"/>
    </row>
    <row r="26">
      <c r="A26" s="11" t="n">
        <v>24</v>
      </c>
      <c r="B26" s="12" t="inlineStr">
        <is>
          <t>2. Process &amp; Procedure Documentation</t>
        </is>
      </c>
      <c r="C26" s="12" t="inlineStr">
        <is>
          <t>Month-end / period-end close checklist</t>
        </is>
      </c>
      <c r="D26" s="11" t="inlineStr">
        <is>
          <t>D</t>
        </is>
      </c>
      <c r="E26" s="12" t="inlineStr">
        <is>
          <t>Controller</t>
        </is>
      </c>
      <c r="F26" s="13" t="inlineStr">
        <is>
          <t>Medium</t>
        </is>
      </c>
      <c r="G26" s="11" t="inlineStr">
        <is>
          <t>Not Started</t>
        </is>
      </c>
      <c r="H26" s="12" t="inlineStr"/>
      <c r="I26" s="12" t="inlineStr"/>
      <c r="J26" s="12" t="inlineStr"/>
    </row>
    <row r="27">
      <c r="A27" s="8" t="n">
        <v>25</v>
      </c>
      <c r="B27" s="9" t="inlineStr">
        <is>
          <t>2. Process &amp; Procedure Documentation</t>
        </is>
      </c>
      <c r="C27" s="9" t="inlineStr">
        <is>
          <t>Bank reconciliation procedures</t>
        </is>
      </c>
      <c r="D27" s="8" t="inlineStr">
        <is>
          <t>D</t>
        </is>
      </c>
      <c r="E27" s="9" t="inlineStr">
        <is>
          <t>Controller</t>
        </is>
      </c>
      <c r="F27" s="13" t="inlineStr">
        <is>
          <t>Medium</t>
        </is>
      </c>
      <c r="G27" s="8" t="inlineStr">
        <is>
          <t>Not Started</t>
        </is>
      </c>
      <c r="H27" s="9" t="inlineStr"/>
      <c r="I27" s="9" t="inlineStr"/>
      <c r="J27" s="9" t="inlineStr"/>
    </row>
    <row r="28">
      <c r="A28" s="11" t="n">
        <v>26</v>
      </c>
      <c r="B28" s="12" t="inlineStr">
        <is>
          <t>2. Process &amp; Procedure Documentation</t>
        </is>
      </c>
      <c r="C28" s="12" t="inlineStr">
        <is>
          <t>Desktop procedures / work instructions / training materials for AP</t>
        </is>
      </c>
      <c r="D28" s="11" t="inlineStr">
        <is>
          <t>D</t>
        </is>
      </c>
      <c r="E28" s="12" t="inlineStr">
        <is>
          <t>AP Mgr</t>
        </is>
      </c>
      <c r="F28" s="13" t="inlineStr">
        <is>
          <t>Medium</t>
        </is>
      </c>
      <c r="G28" s="11" t="inlineStr">
        <is>
          <t>Not Started</t>
        </is>
      </c>
      <c r="H28" s="12" t="inlineStr"/>
      <c r="I28" s="12" t="inlineStr"/>
      <c r="J28" s="12" t="inlineStr"/>
    </row>
    <row r="29">
      <c r="A29" s="8" t="n">
        <v>27</v>
      </c>
      <c r="B29" s="9" t="inlineStr">
        <is>
          <t>2. Process &amp; Procedure Documentation</t>
        </is>
      </c>
      <c r="C29" s="9" t="inlineStr">
        <is>
          <t>Prior internal process maps, RACI charts, or control matrices</t>
        </is>
      </c>
      <c r="D29" s="8" t="inlineStr">
        <is>
          <t>D</t>
        </is>
      </c>
      <c r="E29" s="9" t="inlineStr">
        <is>
          <t>Controller</t>
        </is>
      </c>
      <c r="F29" s="13" t="inlineStr">
        <is>
          <t>Medium</t>
        </is>
      </c>
      <c r="G29" s="8" t="inlineStr">
        <is>
          <t>Not Started</t>
        </is>
      </c>
      <c r="H29" s="9" t="inlineStr"/>
      <c r="I29" s="9" t="inlineStr"/>
      <c r="J29" s="9" t="inlineStr"/>
    </row>
    <row r="30">
      <c r="A30" s="11" t="n">
        <v>28</v>
      </c>
      <c r="B30" s="12" t="inlineStr">
        <is>
          <t>3. Organizational &amp; People</t>
        </is>
      </c>
      <c r="C30" s="12" t="inlineStr">
        <is>
          <t>Organizational chart (finance/accounting and broader org)</t>
        </is>
      </c>
      <c r="D30" s="11" t="inlineStr">
        <is>
          <t>O</t>
        </is>
      </c>
      <c r="E30" s="12" t="inlineStr">
        <is>
          <t>HR</t>
        </is>
      </c>
      <c r="F30" s="10" t="inlineStr">
        <is>
          <t>High</t>
        </is>
      </c>
      <c r="G30" s="11" t="inlineStr">
        <is>
          <t>Not Started</t>
        </is>
      </c>
      <c r="H30" s="12" t="inlineStr"/>
      <c r="I30" s="12" t="inlineStr"/>
      <c r="J30" s="12" t="inlineStr"/>
    </row>
    <row r="31">
      <c r="A31" s="8" t="n">
        <v>29</v>
      </c>
      <c r="B31" s="9" t="inlineStr">
        <is>
          <t>3. Organizational &amp; People</t>
        </is>
      </c>
      <c r="C31" s="9" t="inlineStr">
        <is>
          <t>List of all individuals in the disbursement cycle with roles/titles</t>
        </is>
      </c>
      <c r="D31" s="8" t="inlineStr">
        <is>
          <t>O</t>
        </is>
      </c>
      <c r="E31" s="9" t="inlineStr">
        <is>
          <t>Controller</t>
        </is>
      </c>
      <c r="F31" s="10" t="inlineStr">
        <is>
          <t>High</t>
        </is>
      </c>
      <c r="G31" s="8" t="inlineStr">
        <is>
          <t>Not Started</t>
        </is>
      </c>
      <c r="H31" s="9" t="inlineStr"/>
      <c r="I31" s="9" t="inlineStr"/>
      <c r="J31" s="9" t="inlineStr"/>
    </row>
    <row r="32">
      <c r="A32" s="11" t="n">
        <v>30</v>
      </c>
      <c r="B32" s="12" t="inlineStr">
        <is>
          <t>3. Organizational &amp; People</t>
        </is>
      </c>
      <c r="C32" s="12" t="inlineStr">
        <is>
          <t>Job descriptions for AP, procurement, treasury, approver roles</t>
        </is>
      </c>
      <c r="D32" s="11" t="inlineStr">
        <is>
          <t>O</t>
        </is>
      </c>
      <c r="E32" s="12" t="inlineStr">
        <is>
          <t>HR</t>
        </is>
      </c>
      <c r="F32" s="13" t="inlineStr">
        <is>
          <t>Medium</t>
        </is>
      </c>
      <c r="G32" s="11" t="inlineStr">
        <is>
          <t>Not Started</t>
        </is>
      </c>
      <c r="H32" s="12" t="inlineStr"/>
      <c r="I32" s="12" t="inlineStr"/>
      <c r="J32" s="12" t="inlineStr"/>
    </row>
    <row r="33">
      <c r="A33" s="8" t="n">
        <v>31</v>
      </c>
      <c r="B33" s="9" t="inlineStr">
        <is>
          <t>3. Organizational &amp; People</t>
        </is>
      </c>
      <c r="C33" s="9" t="inlineStr">
        <is>
          <t>List of authorized approvers and their approval limits</t>
        </is>
      </c>
      <c r="D33" s="8" t="inlineStr">
        <is>
          <t>O</t>
        </is>
      </c>
      <c r="E33" s="9" t="inlineStr">
        <is>
          <t>CFO</t>
        </is>
      </c>
      <c r="F33" s="10" t="inlineStr">
        <is>
          <t>High</t>
        </is>
      </c>
      <c r="G33" s="8" t="inlineStr">
        <is>
          <t>Not Started</t>
        </is>
      </c>
      <c r="H33" s="9" t="inlineStr"/>
      <c r="I33" s="9" t="inlineStr"/>
      <c r="J33" s="9" t="inlineStr"/>
    </row>
    <row r="34">
      <c r="A34" s="11" t="n">
        <v>32</v>
      </c>
      <c r="B34" s="12" t="inlineStr">
        <is>
          <t>3. Organizational &amp; People</t>
        </is>
      </c>
      <c r="C34" s="12" t="inlineStr">
        <is>
          <t>List of check signers and bank-authorized signatories</t>
        </is>
      </c>
      <c r="D34" s="11" t="inlineStr">
        <is>
          <t>O</t>
        </is>
      </c>
      <c r="E34" s="12" t="inlineStr">
        <is>
          <t>Treasury</t>
        </is>
      </c>
      <c r="F34" s="10" t="inlineStr">
        <is>
          <t>High</t>
        </is>
      </c>
      <c r="G34" s="11" t="inlineStr">
        <is>
          <t>Not Started</t>
        </is>
      </c>
      <c r="H34" s="12" t="inlineStr"/>
      <c r="I34" s="12" t="inlineStr"/>
      <c r="J34" s="12" t="inlineStr"/>
    </row>
    <row r="35">
      <c r="A35" s="8" t="n">
        <v>33</v>
      </c>
      <c r="B35" s="9" t="inlineStr">
        <is>
          <t>3. Organizational &amp; People</t>
        </is>
      </c>
      <c r="C35" s="9" t="inlineStr">
        <is>
          <t>Backup/delegate assignments (coverage when a role is out)</t>
        </is>
      </c>
      <c r="D35" s="8" t="inlineStr">
        <is>
          <t>O</t>
        </is>
      </c>
      <c r="E35" s="9" t="inlineStr">
        <is>
          <t>Controller</t>
        </is>
      </c>
      <c r="F35" s="14" t="inlineStr">
        <is>
          <t>Low</t>
        </is>
      </c>
      <c r="G35" s="8" t="inlineStr">
        <is>
          <t>Not Started</t>
        </is>
      </c>
      <c r="H35" s="9" t="inlineStr"/>
      <c r="I35" s="9" t="inlineStr"/>
      <c r="J35" s="9" t="inlineStr"/>
    </row>
    <row r="36">
      <c r="A36" s="11" t="n">
        <v>34</v>
      </c>
      <c r="B36" s="12" t="inlineStr">
        <is>
          <t>3. Organizational &amp; People</t>
        </is>
      </c>
      <c r="C36" s="12" t="inlineStr">
        <is>
          <t>Recent staffing changes, vacancies, reorganizations in finance</t>
        </is>
      </c>
      <c r="D36" s="11" t="inlineStr">
        <is>
          <t>O</t>
        </is>
      </c>
      <c r="E36" s="12" t="inlineStr">
        <is>
          <t>HR / CFO</t>
        </is>
      </c>
      <c r="F36" s="14" t="inlineStr">
        <is>
          <t>Low</t>
        </is>
      </c>
      <c r="G36" s="11" t="inlineStr">
        <is>
          <t>Not Started</t>
        </is>
      </c>
      <c r="H36" s="12" t="inlineStr"/>
      <c r="I36" s="12" t="inlineStr"/>
      <c r="J36" s="12" t="inlineStr"/>
    </row>
    <row r="37">
      <c r="A37" s="8" t="n">
        <v>35</v>
      </c>
      <c r="B37" s="9" t="inlineStr">
        <is>
          <t>3. Organizational &amp; People</t>
        </is>
      </c>
      <c r="C37" s="9" t="inlineStr">
        <is>
          <t>Contact list with availability for interview scheduling</t>
        </is>
      </c>
      <c r="D37" s="8" t="inlineStr">
        <is>
          <t>O</t>
        </is>
      </c>
      <c r="E37" s="9" t="inlineStr">
        <is>
          <t>Project Sponsor</t>
        </is>
      </c>
      <c r="F37" s="10" t="inlineStr">
        <is>
          <t>High</t>
        </is>
      </c>
      <c r="G37" s="8" t="inlineStr">
        <is>
          <t>Not Started</t>
        </is>
      </c>
      <c r="H37" s="9" t="inlineStr"/>
      <c r="I37" s="9" t="inlineStr"/>
      <c r="J37" s="9" t="inlineStr"/>
    </row>
    <row r="38">
      <c r="A38" s="11" t="n">
        <v>36</v>
      </c>
      <c r="B38" s="12" t="inlineStr">
        <is>
          <t>4. Systems &amp; Applications (IT)</t>
        </is>
      </c>
      <c r="C38" s="12" t="inlineStr">
        <is>
          <t>List of ALL applications used in the disbursement process</t>
        </is>
      </c>
      <c r="D38" s="11" t="inlineStr">
        <is>
          <t>S</t>
        </is>
      </c>
      <c r="E38" s="12" t="inlineStr">
        <is>
          <t>Controller / IT</t>
        </is>
      </c>
      <c r="F38" s="10" t="inlineStr">
        <is>
          <t>High</t>
        </is>
      </c>
      <c r="G38" s="11" t="inlineStr">
        <is>
          <t>Not Started</t>
        </is>
      </c>
      <c r="H38" s="12" t="inlineStr"/>
      <c r="I38" s="12" t="inlineStr"/>
      <c r="J38" s="12" t="inlineStr"/>
    </row>
    <row r="39">
      <c r="A39" s="8" t="n">
        <v>37</v>
      </c>
      <c r="B39" s="9" t="inlineStr">
        <is>
          <t>4. Systems &amp; Applications (IT)</t>
        </is>
      </c>
      <c r="C39" s="9" t="inlineStr">
        <is>
          <t>Accounting/ERP/GL system name &amp; version</t>
        </is>
      </c>
      <c r="D39" s="8" t="inlineStr">
        <is>
          <t>S</t>
        </is>
      </c>
      <c r="E39" s="9" t="inlineStr">
        <is>
          <t>Controller / IT</t>
        </is>
      </c>
      <c r="F39" s="10" t="inlineStr">
        <is>
          <t>High</t>
        </is>
      </c>
      <c r="G39" s="8" t="inlineStr">
        <is>
          <t>Not Started</t>
        </is>
      </c>
      <c r="H39" s="9" t="inlineStr"/>
      <c r="I39" s="9" t="inlineStr"/>
      <c r="J39" s="9" t="inlineStr"/>
    </row>
    <row r="40">
      <c r="A40" s="11" t="n">
        <v>38</v>
      </c>
      <c r="B40" s="12" t="inlineStr">
        <is>
          <t>4. Systems &amp; Applications (IT)</t>
        </is>
      </c>
      <c r="C40" s="12" t="inlineStr">
        <is>
          <t>Expense management system (Concur, Expensify, Ramp, Bill.com, etc.)</t>
        </is>
      </c>
      <c r="D40" s="11" t="inlineStr">
        <is>
          <t>S</t>
        </is>
      </c>
      <c r="E40" s="12" t="inlineStr">
        <is>
          <t>Controller</t>
        </is>
      </c>
      <c r="F40" s="13" t="inlineStr">
        <is>
          <t>Medium</t>
        </is>
      </c>
      <c r="G40" s="11" t="inlineStr">
        <is>
          <t>Not Started</t>
        </is>
      </c>
      <c r="H40" s="12" t="inlineStr"/>
      <c r="I40" s="12" t="inlineStr"/>
      <c r="J40" s="12" t="inlineStr"/>
    </row>
    <row r="41">
      <c r="A41" s="8" t="n">
        <v>39</v>
      </c>
      <c r="B41" s="9" t="inlineStr">
        <is>
          <t>4. Systems &amp; Applications (IT)</t>
        </is>
      </c>
      <c r="C41" s="9" t="inlineStr">
        <is>
          <t>Banking / treasury platforms and online banking portals used</t>
        </is>
      </c>
      <c r="D41" s="8" t="inlineStr">
        <is>
          <t>S</t>
        </is>
      </c>
      <c r="E41" s="9" t="inlineStr">
        <is>
          <t>Treasury</t>
        </is>
      </c>
      <c r="F41" s="10" t="inlineStr">
        <is>
          <t>High</t>
        </is>
      </c>
      <c r="G41" s="8" t="inlineStr">
        <is>
          <t>Not Started</t>
        </is>
      </c>
      <c r="H41" s="9" t="inlineStr"/>
      <c r="I41" s="9" t="inlineStr"/>
      <c r="J41" s="9" t="inlineStr"/>
    </row>
    <row r="42">
      <c r="A42" s="11" t="n">
        <v>40</v>
      </c>
      <c r="B42" s="12" t="inlineStr">
        <is>
          <t>4. Systems &amp; Applications (IT)</t>
        </is>
      </c>
      <c r="C42" s="12" t="inlineStr">
        <is>
          <t>Payment platforms (ACH/wire origination, check-printing, Bill.com)</t>
        </is>
      </c>
      <c r="D42" s="11" t="inlineStr">
        <is>
          <t>S</t>
        </is>
      </c>
      <c r="E42" s="12" t="inlineStr">
        <is>
          <t>Treasury / AP</t>
        </is>
      </c>
      <c r="F42" s="10" t="inlineStr">
        <is>
          <t>High</t>
        </is>
      </c>
      <c r="G42" s="11" t="inlineStr">
        <is>
          <t>Not Started</t>
        </is>
      </c>
      <c r="H42" s="12" t="inlineStr"/>
      <c r="I42" s="12" t="inlineStr"/>
      <c r="J42" s="12" t="inlineStr"/>
    </row>
    <row r="43">
      <c r="A43" s="8" t="n">
        <v>41</v>
      </c>
      <c r="B43" s="9" t="inlineStr">
        <is>
          <t>4. Systems &amp; Applications (IT)</t>
        </is>
      </c>
      <c r="C43" s="9" t="inlineStr">
        <is>
          <t>Grant/scholarship/disbursement management system (if applicable)</t>
        </is>
      </c>
      <c r="D43" s="8" t="inlineStr">
        <is>
          <t>S</t>
        </is>
      </c>
      <c r="E43" s="9" t="inlineStr">
        <is>
          <t>Grants Mgr</t>
        </is>
      </c>
      <c r="F43" s="13" t="inlineStr">
        <is>
          <t>Medium</t>
        </is>
      </c>
      <c r="G43" s="8" t="inlineStr">
        <is>
          <t>Not Started</t>
        </is>
      </c>
      <c r="H43" s="9" t="inlineStr"/>
      <c r="I43" s="9" t="inlineStr"/>
      <c r="J43" s="9" t="inlineStr"/>
    </row>
    <row r="44">
      <c r="A44" s="11" t="n">
        <v>42</v>
      </c>
      <c r="B44" s="12" t="inlineStr">
        <is>
          <t>4. Systems &amp; Applications (IT)</t>
        </is>
      </c>
      <c r="C44" s="12" t="inlineStr">
        <is>
          <t>System access / user listing with roles &amp; permissions per application</t>
        </is>
      </c>
      <c r="D44" s="11" t="inlineStr">
        <is>
          <t>S</t>
        </is>
      </c>
      <c r="E44" s="12" t="inlineStr">
        <is>
          <t>IT / Sys Admin</t>
        </is>
      </c>
      <c r="F44" s="10" t="inlineStr">
        <is>
          <t>High</t>
        </is>
      </c>
      <c r="G44" s="11" t="inlineStr">
        <is>
          <t>Not Started</t>
        </is>
      </c>
      <c r="H44" s="12" t="inlineStr"/>
      <c r="I44" s="12" t="inlineStr"/>
      <c r="J44" s="12" t="inlineStr"/>
    </row>
    <row r="45">
      <c r="A45" s="8" t="n">
        <v>43</v>
      </c>
      <c r="B45" s="9" t="inlineStr">
        <is>
          <t>4. Systems &amp; Applications (IT)</t>
        </is>
      </c>
      <c r="C45" s="9" t="inlineStr">
        <is>
          <t>Segregation-of-duties report / role-permission matrix from ERP</t>
        </is>
      </c>
      <c r="D45" s="8" t="inlineStr">
        <is>
          <t>S</t>
        </is>
      </c>
      <c r="E45" s="9" t="inlineStr">
        <is>
          <t>IT / Controller</t>
        </is>
      </c>
      <c r="F45" s="10" t="inlineStr">
        <is>
          <t>High</t>
        </is>
      </c>
      <c r="G45" s="8" t="inlineStr">
        <is>
          <t>Not Started</t>
        </is>
      </c>
      <c r="H45" s="9" t="inlineStr"/>
      <c r="I45" s="9" t="inlineStr"/>
      <c r="J45" s="9" t="inlineStr"/>
    </row>
    <row r="46">
      <c r="A46" s="11" t="n">
        <v>44</v>
      </c>
      <c r="B46" s="12" t="inlineStr">
        <is>
          <t>4. Systems &amp; Applications (IT)</t>
        </is>
      </c>
      <c r="C46" s="12" t="inlineStr">
        <is>
          <t>Users able to: create vendors, approve invoices, initiate &amp; release payments</t>
        </is>
      </c>
      <c r="D46" s="11" t="inlineStr">
        <is>
          <t>S</t>
        </is>
      </c>
      <c r="E46" s="12" t="inlineStr">
        <is>
          <t>IT / Controller</t>
        </is>
      </c>
      <c r="F46" s="10" t="inlineStr">
        <is>
          <t>High</t>
        </is>
      </c>
      <c r="G46" s="11" t="inlineStr">
        <is>
          <t>Not Started</t>
        </is>
      </c>
      <c r="H46" s="12" t="inlineStr"/>
      <c r="I46" s="12" t="inlineStr"/>
      <c r="J46" s="12" t="inlineStr"/>
    </row>
    <row r="47">
      <c r="A47" s="8" t="n">
        <v>45</v>
      </c>
      <c r="B47" s="9" t="inlineStr">
        <is>
          <t>4. Systems &amp; Applications (IT)</t>
        </is>
      </c>
      <c r="C47" s="9" t="inlineStr">
        <is>
          <t>Audit-log / change-log capability + sample export</t>
        </is>
      </c>
      <c r="D47" s="8" t="inlineStr">
        <is>
          <t>S</t>
        </is>
      </c>
      <c r="E47" s="9" t="inlineStr">
        <is>
          <t>IT</t>
        </is>
      </c>
      <c r="F47" s="13" t="inlineStr">
        <is>
          <t>Medium</t>
        </is>
      </c>
      <c r="G47" s="8" t="inlineStr">
        <is>
          <t>Not Started</t>
        </is>
      </c>
      <c r="H47" s="9" t="inlineStr"/>
      <c r="I47" s="9" t="inlineStr"/>
      <c r="J47" s="9" t="inlineStr"/>
    </row>
    <row r="48">
      <c r="A48" s="11" t="n">
        <v>46</v>
      </c>
      <c r="B48" s="12" t="inlineStr">
        <is>
          <t>4. Systems &amp; Applications (IT)</t>
        </is>
      </c>
      <c r="C48" s="12" t="inlineStr">
        <is>
          <t>Integration map (procurement → GL → bank data flow)</t>
        </is>
      </c>
      <c r="D48" s="11" t="inlineStr">
        <is>
          <t>S</t>
        </is>
      </c>
      <c r="E48" s="12" t="inlineStr">
        <is>
          <t>IT</t>
        </is>
      </c>
      <c r="F48" s="13" t="inlineStr">
        <is>
          <t>Medium</t>
        </is>
      </c>
      <c r="G48" s="11" t="inlineStr">
        <is>
          <t>Not Started</t>
        </is>
      </c>
      <c r="H48" s="12" t="inlineStr"/>
      <c r="I48" s="12" t="inlineStr"/>
      <c r="J48" s="12" t="inlineStr"/>
    </row>
    <row r="49">
      <c r="A49" s="8" t="n">
        <v>47</v>
      </c>
      <c r="B49" s="9" t="inlineStr">
        <is>
          <t>4. Systems &amp; Applications (IT)</t>
        </is>
      </c>
      <c r="C49" s="9" t="inlineStr">
        <is>
          <t>Access provisioning/deprovisioning &amp; MFA procedures for finance systems</t>
        </is>
      </c>
      <c r="D49" s="8" t="inlineStr">
        <is>
          <t>S</t>
        </is>
      </c>
      <c r="E49" s="9" t="inlineStr">
        <is>
          <t>IT</t>
        </is>
      </c>
      <c r="F49" s="13" t="inlineStr">
        <is>
          <t>Medium</t>
        </is>
      </c>
      <c r="G49" s="8" t="inlineStr">
        <is>
          <t>Not Started</t>
        </is>
      </c>
      <c r="H49" s="9" t="inlineStr"/>
      <c r="I49" s="9" t="inlineStr"/>
      <c r="J49" s="9" t="inlineStr"/>
    </row>
    <row r="50">
      <c r="A50" s="11" t="n">
        <v>48</v>
      </c>
      <c r="B50" s="12" t="inlineStr">
        <is>
          <t>5. Vendor / Payee Master Data</t>
        </is>
      </c>
      <c r="C50" s="12" t="inlineStr">
        <is>
          <t>Complete vendor master file (active &amp; inactive) at period end</t>
        </is>
      </c>
      <c r="D50" s="11" t="inlineStr">
        <is>
          <t>D</t>
        </is>
      </c>
      <c r="E50" s="12" t="inlineStr">
        <is>
          <t>AP Mgr</t>
        </is>
      </c>
      <c r="F50" s="10" t="inlineStr">
        <is>
          <t>High</t>
        </is>
      </c>
      <c r="G50" s="11" t="inlineStr">
        <is>
          <t>Not Started</t>
        </is>
      </c>
      <c r="H50" s="12" t="inlineStr"/>
      <c r="I50" s="12" t="inlineStr"/>
      <c r="J50" s="12" t="inlineStr"/>
    </row>
    <row r="51">
      <c r="A51" s="8" t="n">
        <v>49</v>
      </c>
      <c r="B51" s="9" t="inlineStr">
        <is>
          <t>5. Vendor / Payee Master Data</t>
        </is>
      </c>
      <c r="C51" s="9" t="inlineStr">
        <is>
          <t>Vendor master change log / additions &amp; deletions during the period</t>
        </is>
      </c>
      <c r="D51" s="8" t="inlineStr">
        <is>
          <t>D</t>
        </is>
      </c>
      <c r="E51" s="9" t="inlineStr">
        <is>
          <t>AP Mgr</t>
        </is>
      </c>
      <c r="F51" s="10" t="inlineStr">
        <is>
          <t>High</t>
        </is>
      </c>
      <c r="G51" s="8" t="inlineStr">
        <is>
          <t>Not Started</t>
        </is>
      </c>
      <c r="H51" s="9" t="inlineStr"/>
      <c r="I51" s="9" t="inlineStr"/>
      <c r="J51" s="9" t="inlineStr"/>
    </row>
    <row r="52">
      <c r="A52" s="11" t="n">
        <v>50</v>
      </c>
      <c r="B52" s="12" t="inlineStr">
        <is>
          <t>5. Vendor / Payee Master Data</t>
        </is>
      </c>
      <c r="C52" s="12" t="inlineStr">
        <is>
          <t>New vendor setup forms + supporting docs (W-9 / W-8)</t>
        </is>
      </c>
      <c r="D52" s="11" t="inlineStr">
        <is>
          <t>D</t>
        </is>
      </c>
      <c r="E52" s="12" t="inlineStr">
        <is>
          <t>AP Mgr</t>
        </is>
      </c>
      <c r="F52" s="13" t="inlineStr">
        <is>
          <t>Medium</t>
        </is>
      </c>
      <c r="G52" s="11" t="inlineStr">
        <is>
          <t>Not Started</t>
        </is>
      </c>
      <c r="H52" s="12" t="inlineStr"/>
      <c r="I52" s="12" t="inlineStr"/>
      <c r="J52" s="12" t="inlineStr"/>
    </row>
    <row r="53">
      <c r="A53" s="8" t="n">
        <v>51</v>
      </c>
      <c r="B53" s="9" t="inlineStr">
        <is>
          <t>5. Vendor / Payee Master Data</t>
        </is>
      </c>
      <c r="C53" s="9" t="inlineStr">
        <is>
          <t>Vendor banking-detail change records and verification process</t>
        </is>
      </c>
      <c r="D53" s="8" t="inlineStr">
        <is>
          <t>D</t>
        </is>
      </c>
      <c r="E53" s="9" t="inlineStr">
        <is>
          <t>AP Mgr</t>
        </is>
      </c>
      <c r="F53" s="10" t="inlineStr">
        <is>
          <t>High</t>
        </is>
      </c>
      <c r="G53" s="8" t="inlineStr">
        <is>
          <t>Not Started</t>
        </is>
      </c>
      <c r="H53" s="9" t="inlineStr"/>
      <c r="I53" s="9" t="inlineStr"/>
      <c r="J53" s="9" t="inlineStr"/>
    </row>
    <row r="54">
      <c r="A54" s="11" t="n">
        <v>52</v>
      </c>
      <c r="B54" s="12" t="inlineStr">
        <is>
          <t>5. Vendor / Payee Master Data</t>
        </is>
      </c>
      <c r="C54" s="12" t="inlineStr">
        <is>
          <t>Sub-recipient / grantee list (if disbursing grants or scholarships)</t>
        </is>
      </c>
      <c r="D54" s="11" t="inlineStr">
        <is>
          <t>D</t>
        </is>
      </c>
      <c r="E54" s="12" t="inlineStr">
        <is>
          <t>Grants Mgr</t>
        </is>
      </c>
      <c r="F54" s="13" t="inlineStr">
        <is>
          <t>Medium</t>
        </is>
      </c>
      <c r="G54" s="11" t="inlineStr">
        <is>
          <t>Not Started</t>
        </is>
      </c>
      <c r="H54" s="12" t="inlineStr"/>
      <c r="I54" s="12" t="inlineStr"/>
      <c r="J54" s="12" t="inlineStr"/>
    </row>
    <row r="55">
      <c r="A55" s="8" t="n">
        <v>53</v>
      </c>
      <c r="B55" s="9" t="inlineStr">
        <is>
          <t>5. Vendor / Payee Master Data</t>
        </is>
      </c>
      <c r="C55" s="9" t="inlineStr">
        <is>
          <t>Related-party / employee-vendor cross-reference (conflict checks)</t>
        </is>
      </c>
      <c r="D55" s="8" t="inlineStr">
        <is>
          <t>D</t>
        </is>
      </c>
      <c r="E55" s="9" t="inlineStr">
        <is>
          <t>Controller</t>
        </is>
      </c>
      <c r="F55" s="13" t="inlineStr">
        <is>
          <t>Medium</t>
        </is>
      </c>
      <c r="G55" s="8" t="inlineStr">
        <is>
          <t>Not Started</t>
        </is>
      </c>
      <c r="H55" s="9" t="inlineStr"/>
      <c r="I55" s="9" t="inlineStr"/>
      <c r="J55" s="9" t="inlineStr"/>
    </row>
    <row r="56">
      <c r="A56" s="11" t="n">
        <v>54</v>
      </c>
      <c r="B56" s="12" t="inlineStr">
        <is>
          <t>6. Transaction-Level Records</t>
        </is>
      </c>
      <c r="C56" s="12" t="inlineStr">
        <is>
          <t>Complete disbursement / check register for the period (all payment types)</t>
        </is>
      </c>
      <c r="D56" s="11" t="inlineStr">
        <is>
          <t>D</t>
        </is>
      </c>
      <c r="E56" s="12" t="inlineStr">
        <is>
          <t>AP Mgr</t>
        </is>
      </c>
      <c r="F56" s="10" t="inlineStr">
        <is>
          <t>High</t>
        </is>
      </c>
      <c r="G56" s="11" t="inlineStr">
        <is>
          <t>Not Started</t>
        </is>
      </c>
      <c r="H56" s="12" t="inlineStr"/>
      <c r="I56" s="12" t="inlineStr"/>
      <c r="J56" s="12" t="inlineStr"/>
    </row>
    <row r="57">
      <c r="A57" s="8" t="n">
        <v>55</v>
      </c>
      <c r="B57" s="9" t="inlineStr">
        <is>
          <t>6. Transaction-Level Records</t>
        </is>
      </c>
      <c r="C57" s="9" t="inlineStr">
        <is>
          <t>AP aging reports (period end + selected interim dates)</t>
        </is>
      </c>
      <c r="D57" s="8" t="inlineStr">
        <is>
          <t>D</t>
        </is>
      </c>
      <c r="E57" s="9" t="inlineStr">
        <is>
          <t>AP Mgr</t>
        </is>
      </c>
      <c r="F57" s="10" t="inlineStr">
        <is>
          <t>High</t>
        </is>
      </c>
      <c r="G57" s="8" t="inlineStr">
        <is>
          <t>Not Started</t>
        </is>
      </c>
      <c r="H57" s="9" t="inlineStr"/>
      <c r="I57" s="9" t="inlineStr"/>
      <c r="J57" s="9" t="inlineStr"/>
    </row>
    <row r="58">
      <c r="A58" s="11" t="n">
        <v>56</v>
      </c>
      <c r="B58" s="12" t="inlineStr">
        <is>
          <t>6. Transaction-Level Records</t>
        </is>
      </c>
      <c r="C58" s="12" t="inlineStr">
        <is>
          <t>General ledger detail for cash/AP/expense accounts (period)</t>
        </is>
      </c>
      <c r="D58" s="11" t="inlineStr">
        <is>
          <t>D</t>
        </is>
      </c>
      <c r="E58" s="12" t="inlineStr">
        <is>
          <t>Controller</t>
        </is>
      </c>
      <c r="F58" s="10" t="inlineStr">
        <is>
          <t>High</t>
        </is>
      </c>
      <c r="G58" s="11" t="inlineStr">
        <is>
          <t>Not Started</t>
        </is>
      </c>
      <c r="H58" s="12" t="inlineStr"/>
      <c r="I58" s="12" t="inlineStr"/>
      <c r="J58" s="12" t="inlineStr"/>
    </row>
    <row r="59">
      <c r="A59" s="8" t="n">
        <v>57</v>
      </c>
      <c r="B59" s="9" t="inlineStr">
        <is>
          <t>6. Transaction-Level Records</t>
        </is>
      </c>
      <c r="C59" s="9" t="inlineStr">
        <is>
          <t>Trial balance(s) for the period</t>
        </is>
      </c>
      <c r="D59" s="8" t="inlineStr">
        <is>
          <t>D</t>
        </is>
      </c>
      <c r="E59" s="9" t="inlineStr">
        <is>
          <t>Controller</t>
        </is>
      </c>
      <c r="F59" s="13" t="inlineStr">
        <is>
          <t>Medium</t>
        </is>
      </c>
      <c r="G59" s="8" t="inlineStr">
        <is>
          <t>Not Started</t>
        </is>
      </c>
      <c r="H59" s="9" t="inlineStr"/>
      <c r="I59" s="9" t="inlineStr"/>
      <c r="J59" s="9" t="inlineStr"/>
    </row>
    <row r="60">
      <c r="A60" s="11" t="n">
        <v>58</v>
      </c>
      <c r="B60" s="12" t="inlineStr">
        <is>
          <t>6. Transaction-Level Records</t>
        </is>
      </c>
      <c r="C60" s="12" t="inlineStr">
        <is>
          <t>Sample full payment packets (PO+receiving+invoice+approval+proof of pay)</t>
        </is>
      </c>
      <c r="D60" s="11" t="inlineStr">
        <is>
          <t>D</t>
        </is>
      </c>
      <c r="E60" s="12" t="inlineStr">
        <is>
          <t>AP Mgr</t>
        </is>
      </c>
      <c r="F60" s="10" t="inlineStr">
        <is>
          <t>High</t>
        </is>
      </c>
      <c r="G60" s="11" t="inlineStr">
        <is>
          <t>Not Started</t>
        </is>
      </c>
      <c r="H60" s="12" t="inlineStr"/>
      <c r="I60" s="12" t="inlineStr"/>
      <c r="J60" s="12" t="inlineStr"/>
    </row>
    <row r="61">
      <c r="A61" s="8" t="n">
        <v>59</v>
      </c>
      <c r="B61" s="9" t="inlineStr">
        <is>
          <t>6. Transaction-Level Records</t>
        </is>
      </c>
      <c r="C61" s="9" t="inlineStr">
        <is>
          <t>Voided / cancelled / reissued check listing</t>
        </is>
      </c>
      <c r="D61" s="8" t="inlineStr">
        <is>
          <t>D</t>
        </is>
      </c>
      <c r="E61" s="9" t="inlineStr">
        <is>
          <t>AP Mgr</t>
        </is>
      </c>
      <c r="F61" s="13" t="inlineStr">
        <is>
          <t>Medium</t>
        </is>
      </c>
      <c r="G61" s="8" t="inlineStr">
        <is>
          <t>Not Started</t>
        </is>
      </c>
      <c r="H61" s="9" t="inlineStr"/>
      <c r="I61" s="9" t="inlineStr"/>
      <c r="J61" s="9" t="inlineStr"/>
    </row>
    <row r="62">
      <c r="A62" s="11" t="n">
        <v>60</v>
      </c>
      <c r="B62" s="12" t="inlineStr">
        <is>
          <t>6. Transaction-Level Records</t>
        </is>
      </c>
      <c r="C62" s="12" t="inlineStr">
        <is>
          <t>Manual / off-cycle / emergency payment listing + justifications</t>
        </is>
      </c>
      <c r="D62" s="11" t="inlineStr">
        <is>
          <t>D</t>
        </is>
      </c>
      <c r="E62" s="12" t="inlineStr">
        <is>
          <t>AP Mgr</t>
        </is>
      </c>
      <c r="F62" s="10" t="inlineStr">
        <is>
          <t>High</t>
        </is>
      </c>
      <c r="G62" s="11" t="inlineStr">
        <is>
          <t>Not Started</t>
        </is>
      </c>
      <c r="H62" s="12" t="inlineStr"/>
      <c r="I62" s="12" t="inlineStr"/>
      <c r="J62" s="12" t="inlineStr"/>
    </row>
    <row r="63">
      <c r="A63" s="8" t="n">
        <v>61</v>
      </c>
      <c r="B63" s="9" t="inlineStr">
        <is>
          <t>6. Transaction-Level Records</t>
        </is>
      </c>
      <c r="C63" s="9" t="inlineStr">
        <is>
          <t>Wire and ACH transfer logs + supporting authorizations</t>
        </is>
      </c>
      <c r="D63" s="8" t="inlineStr">
        <is>
          <t>D</t>
        </is>
      </c>
      <c r="E63" s="9" t="inlineStr">
        <is>
          <t>Treasury</t>
        </is>
      </c>
      <c r="F63" s="10" t="inlineStr">
        <is>
          <t>High</t>
        </is>
      </c>
      <c r="G63" s="8" t="inlineStr">
        <is>
          <t>Not Started</t>
        </is>
      </c>
      <c r="H63" s="9" t="inlineStr"/>
      <c r="I63" s="9" t="inlineStr"/>
      <c r="J63" s="9" t="inlineStr"/>
    </row>
    <row r="64">
      <c r="A64" s="11" t="n">
        <v>62</v>
      </c>
      <c r="B64" s="12" t="inlineStr">
        <is>
          <t>6. Transaction-Level Records</t>
        </is>
      </c>
      <c r="C64" s="12" t="inlineStr">
        <is>
          <t>Credit card statements and reconciliations with receipts</t>
        </is>
      </c>
      <c r="D64" s="11" t="inlineStr">
        <is>
          <t>D</t>
        </is>
      </c>
      <c r="E64" s="12" t="inlineStr">
        <is>
          <t>Controller</t>
        </is>
      </c>
      <c r="F64" s="13" t="inlineStr">
        <is>
          <t>Medium</t>
        </is>
      </c>
      <c r="G64" s="11" t="inlineStr">
        <is>
          <t>Not Started</t>
        </is>
      </c>
      <c r="H64" s="12" t="inlineStr"/>
      <c r="I64" s="12" t="inlineStr"/>
      <c r="J64" s="12" t="inlineStr"/>
    </row>
    <row r="65">
      <c r="A65" s="8" t="n">
        <v>63</v>
      </c>
      <c r="B65" s="9" t="inlineStr">
        <is>
          <t>6. Transaction-Level Records</t>
        </is>
      </c>
      <c r="C65" s="9" t="inlineStr">
        <is>
          <t>Expense reimbursement submissions and approvals (sample)</t>
        </is>
      </c>
      <c r="D65" s="8" t="inlineStr">
        <is>
          <t>D</t>
        </is>
      </c>
      <c r="E65" s="9" t="inlineStr">
        <is>
          <t>AP Mgr</t>
        </is>
      </c>
      <c r="F65" s="13" t="inlineStr">
        <is>
          <t>Medium</t>
        </is>
      </c>
      <c r="G65" s="8" t="inlineStr">
        <is>
          <t>Not Started</t>
        </is>
      </c>
      <c r="H65" s="9" t="inlineStr"/>
      <c r="I65" s="9" t="inlineStr"/>
      <c r="J65" s="9" t="inlineStr"/>
    </row>
    <row r="66">
      <c r="A66" s="11" t="n">
        <v>64</v>
      </c>
      <c r="B66" s="12" t="inlineStr">
        <is>
          <t>6. Transaction-Level Records</t>
        </is>
      </c>
      <c r="C66" s="12" t="inlineStr">
        <is>
          <t>Petty cash logs and reconciliations</t>
        </is>
      </c>
      <c r="D66" s="11" t="inlineStr">
        <is>
          <t>D</t>
        </is>
      </c>
      <c r="E66" s="12" t="inlineStr">
        <is>
          <t>AP Mgr</t>
        </is>
      </c>
      <c r="F66" s="14" t="inlineStr">
        <is>
          <t>Low</t>
        </is>
      </c>
      <c r="G66" s="11" t="inlineStr">
        <is>
          <t>Not Started</t>
        </is>
      </c>
      <c r="H66" s="12" t="inlineStr"/>
      <c r="I66" s="12" t="inlineStr"/>
      <c r="J66" s="12" t="inlineStr"/>
    </row>
    <row r="67">
      <c r="A67" s="8" t="n">
        <v>65</v>
      </c>
      <c r="B67" s="9" t="inlineStr">
        <is>
          <t>6. Transaction-Level Records</t>
        </is>
      </c>
      <c r="C67" s="9" t="inlineStr">
        <is>
          <t>Duplicate-payment reports / analysis (if performed)</t>
        </is>
      </c>
      <c r="D67" s="8" t="inlineStr">
        <is>
          <t>D</t>
        </is>
      </c>
      <c r="E67" s="9" t="inlineStr">
        <is>
          <t>AP Mgr</t>
        </is>
      </c>
      <c r="F67" s="13" t="inlineStr">
        <is>
          <t>Medium</t>
        </is>
      </c>
      <c r="G67" s="8" t="inlineStr">
        <is>
          <t>Not Started</t>
        </is>
      </c>
      <c r="H67" s="9" t="inlineStr"/>
      <c r="I67" s="9" t="inlineStr"/>
      <c r="J67" s="9" t="inlineStr"/>
    </row>
    <row r="68">
      <c r="A68" s="11" t="n">
        <v>66</v>
      </c>
      <c r="B68" s="12" t="inlineStr">
        <is>
          <t>7. Banking &amp; Reconciliation</t>
        </is>
      </c>
      <c r="C68" s="12" t="inlineStr">
        <is>
          <t>List of all bank accounts (names, purpose, authorized signers)</t>
        </is>
      </c>
      <c r="D68" s="11" t="inlineStr">
        <is>
          <t>D</t>
        </is>
      </c>
      <c r="E68" s="12" t="inlineStr">
        <is>
          <t>Treasury</t>
        </is>
      </c>
      <c r="F68" s="10" t="inlineStr">
        <is>
          <t>High</t>
        </is>
      </c>
      <c r="G68" s="11" t="inlineStr">
        <is>
          <t>Not Started</t>
        </is>
      </c>
      <c r="H68" s="12" t="inlineStr"/>
      <c r="I68" s="12" t="inlineStr"/>
      <c r="J68" s="12" t="inlineStr"/>
    </row>
    <row r="69">
      <c r="A69" s="8" t="n">
        <v>67</v>
      </c>
      <c r="B69" s="9" t="inlineStr">
        <is>
          <t>7. Banking &amp; Reconciliation</t>
        </is>
      </c>
      <c r="C69" s="9" t="inlineStr">
        <is>
          <t>Bank statements for all accounts for the audit period</t>
        </is>
      </c>
      <c r="D69" s="8" t="inlineStr">
        <is>
          <t>D</t>
        </is>
      </c>
      <c r="E69" s="9" t="inlineStr">
        <is>
          <t>Treasury</t>
        </is>
      </c>
      <c r="F69" s="10" t="inlineStr">
        <is>
          <t>High</t>
        </is>
      </c>
      <c r="G69" s="8" t="inlineStr">
        <is>
          <t>Not Started</t>
        </is>
      </c>
      <c r="H69" s="9" t="inlineStr"/>
      <c r="I69" s="9" t="inlineStr"/>
      <c r="J69" s="9" t="inlineStr"/>
    </row>
    <row r="70">
      <c r="A70" s="11" t="n">
        <v>68</v>
      </c>
      <c r="B70" s="12" t="inlineStr">
        <is>
          <t>7. Banking &amp; Reconciliation</t>
        </is>
      </c>
      <c r="C70" s="12" t="inlineStr">
        <is>
          <t>Completed bank reconciliations for the period with reviewer sign-off</t>
        </is>
      </c>
      <c r="D70" s="11" t="inlineStr">
        <is>
          <t>D</t>
        </is>
      </c>
      <c r="E70" s="12" t="inlineStr">
        <is>
          <t>Controller</t>
        </is>
      </c>
      <c r="F70" s="10" t="inlineStr">
        <is>
          <t>High</t>
        </is>
      </c>
      <c r="G70" s="11" t="inlineStr">
        <is>
          <t>Not Started</t>
        </is>
      </c>
      <c r="H70" s="12" t="inlineStr"/>
      <c r="I70" s="12" t="inlineStr"/>
      <c r="J70" s="12" t="inlineStr"/>
    </row>
    <row r="71">
      <c r="A71" s="8" t="n">
        <v>69</v>
      </c>
      <c r="B71" s="9" t="inlineStr">
        <is>
          <t>7. Banking &amp; Reconciliation</t>
        </is>
      </c>
      <c r="C71" s="9" t="inlineStr">
        <is>
          <t>Outstanding check lists / stale-dated check handling</t>
        </is>
      </c>
      <c r="D71" s="8" t="inlineStr">
        <is>
          <t>D</t>
        </is>
      </c>
      <c r="E71" s="9" t="inlineStr">
        <is>
          <t>AP Mgr</t>
        </is>
      </c>
      <c r="F71" s="13" t="inlineStr">
        <is>
          <t>Medium</t>
        </is>
      </c>
      <c r="G71" s="8" t="inlineStr">
        <is>
          <t>Not Started</t>
        </is>
      </c>
      <c r="H71" s="9" t="inlineStr"/>
      <c r="I71" s="9" t="inlineStr"/>
      <c r="J71" s="9" t="inlineStr"/>
    </row>
    <row r="72">
      <c r="A72" s="11" t="n">
        <v>70</v>
      </c>
      <c r="B72" s="12" t="inlineStr">
        <is>
          <t>7. Banking &amp; Reconciliation</t>
        </is>
      </c>
      <c r="C72" s="12" t="inlineStr">
        <is>
          <t>Positive pay / ACH debit block / fraud-prevention service setup</t>
        </is>
      </c>
      <c r="D72" s="11" t="inlineStr">
        <is>
          <t>D</t>
        </is>
      </c>
      <c r="E72" s="12" t="inlineStr">
        <is>
          <t>Treasury</t>
        </is>
      </c>
      <c r="F72" s="10" t="inlineStr">
        <is>
          <t>High</t>
        </is>
      </c>
      <c r="G72" s="11" t="inlineStr">
        <is>
          <t>Not Started</t>
        </is>
      </c>
      <c r="H72" s="12" t="inlineStr"/>
      <c r="I72" s="12" t="inlineStr"/>
      <c r="J72" s="12" t="inlineStr"/>
    </row>
    <row r="73">
      <c r="A73" s="8" t="n">
        <v>71</v>
      </c>
      <c r="B73" s="9" t="inlineStr">
        <is>
          <t>7. Banking &amp; Reconciliation</t>
        </is>
      </c>
      <c r="C73" s="9" t="inlineStr">
        <is>
          <t>Bank signatory authorization forms / corporate resolutions on file</t>
        </is>
      </c>
      <c r="D73" s="8" t="inlineStr">
        <is>
          <t>D</t>
        </is>
      </c>
      <c r="E73" s="9" t="inlineStr">
        <is>
          <t>Treasury</t>
        </is>
      </c>
      <c r="F73" s="13" t="inlineStr">
        <is>
          <t>Medium</t>
        </is>
      </c>
      <c r="G73" s="8" t="inlineStr">
        <is>
          <t>Not Started</t>
        </is>
      </c>
      <c r="H73" s="9" t="inlineStr"/>
      <c r="I73" s="9" t="inlineStr"/>
      <c r="J73" s="9" t="inlineStr"/>
    </row>
    <row r="74">
      <c r="A74" s="11" t="n">
        <v>72</v>
      </c>
      <c r="B74" s="12" t="inlineStr">
        <is>
          <t>8. Budget &amp; NFP Compliance</t>
        </is>
      </c>
      <c r="C74" s="12" t="inlineStr">
        <is>
          <t>Approved annual budget + any board-approved revisions</t>
        </is>
      </c>
      <c r="D74" s="11" t="inlineStr">
        <is>
          <t>D</t>
        </is>
      </c>
      <c r="E74" s="12" t="inlineStr">
        <is>
          <t>CFO</t>
        </is>
      </c>
      <c r="F74" s="13" t="inlineStr">
        <is>
          <t>Medium</t>
        </is>
      </c>
      <c r="G74" s="11" t="inlineStr">
        <is>
          <t>Not Started</t>
        </is>
      </c>
      <c r="H74" s="12" t="inlineStr"/>
      <c r="I74" s="12" t="inlineStr"/>
      <c r="J74" s="12" t="inlineStr"/>
    </row>
    <row r="75">
      <c r="A75" s="8" t="n">
        <v>73</v>
      </c>
      <c r="B75" s="9" t="inlineStr">
        <is>
          <t>8. Budget &amp; NFP Compliance</t>
        </is>
      </c>
      <c r="C75" s="9" t="inlineStr">
        <is>
          <t>Budget-to-actual reports for the period</t>
        </is>
      </c>
      <c r="D75" s="8" t="inlineStr">
        <is>
          <t>D</t>
        </is>
      </c>
      <c r="E75" s="9" t="inlineStr">
        <is>
          <t>Controller</t>
        </is>
      </c>
      <c r="F75" s="13" t="inlineStr">
        <is>
          <t>Medium</t>
        </is>
      </c>
      <c r="G75" s="8" t="inlineStr">
        <is>
          <t>Not Started</t>
        </is>
      </c>
      <c r="H75" s="9" t="inlineStr"/>
      <c r="I75" s="9" t="inlineStr"/>
      <c r="J75" s="9" t="inlineStr"/>
    </row>
    <row r="76">
      <c r="A76" s="11" t="n">
        <v>74</v>
      </c>
      <c r="B76" s="12" t="inlineStr">
        <is>
          <t>8. Budget &amp; NFP Compliance</t>
        </is>
      </c>
      <c r="C76" s="12" t="inlineStr">
        <is>
          <t>Schedule of restricted vs. unrestricted funds + spending controls</t>
        </is>
      </c>
      <c r="D76" s="11" t="inlineStr">
        <is>
          <t>D</t>
        </is>
      </c>
      <c r="E76" s="12" t="inlineStr">
        <is>
          <t>CFO</t>
        </is>
      </c>
      <c r="F76" s="13" t="inlineStr">
        <is>
          <t>Medium</t>
        </is>
      </c>
      <c r="G76" s="11" t="inlineStr">
        <is>
          <t>Not Started</t>
        </is>
      </c>
      <c r="H76" s="12" t="inlineStr"/>
      <c r="I76" s="12" t="inlineStr"/>
      <c r="J76" s="12" t="inlineStr"/>
    </row>
    <row r="77">
      <c r="A77" s="8" t="n">
        <v>75</v>
      </c>
      <c r="B77" s="9" t="inlineStr">
        <is>
          <t>8. Budget &amp; NFP Compliance</t>
        </is>
      </c>
      <c r="C77" s="9" t="inlineStr">
        <is>
          <t>Donor restriction agreements relevant to disbursements</t>
        </is>
      </c>
      <c r="D77" s="8" t="inlineStr">
        <is>
          <t>D</t>
        </is>
      </c>
      <c r="E77" s="9" t="inlineStr">
        <is>
          <t>Development</t>
        </is>
      </c>
      <c r="F77" s="13" t="inlineStr">
        <is>
          <t>Medium</t>
        </is>
      </c>
      <c r="G77" s="8" t="inlineStr">
        <is>
          <t>Not Started</t>
        </is>
      </c>
      <c r="H77" s="9" t="inlineStr"/>
      <c r="I77" s="9" t="inlineStr"/>
      <c r="J77" s="9" t="inlineStr"/>
    </row>
    <row r="78">
      <c r="A78" s="11" t="n">
        <v>76</v>
      </c>
      <c r="B78" s="12" t="inlineStr">
        <is>
          <t>8. Budget &amp; NFP Compliance</t>
        </is>
      </c>
      <c r="C78" s="12" t="inlineStr">
        <is>
          <t>Grant agreements (incoming) with allowable-cost &amp; disbursement terms</t>
        </is>
      </c>
      <c r="D78" s="11" t="inlineStr">
        <is>
          <t>D</t>
        </is>
      </c>
      <c r="E78" s="12" t="inlineStr">
        <is>
          <t>Grants Mgr</t>
        </is>
      </c>
      <c r="F78" s="13" t="inlineStr">
        <is>
          <t>Medium</t>
        </is>
      </c>
      <c r="G78" s="11" t="inlineStr">
        <is>
          <t>Not Started</t>
        </is>
      </c>
      <c r="H78" s="12" t="inlineStr"/>
      <c r="I78" s="12" t="inlineStr"/>
      <c r="J78" s="12" t="inlineStr"/>
    </row>
    <row r="79">
      <c r="A79" s="8" t="n">
        <v>77</v>
      </c>
      <c r="B79" s="9" t="inlineStr">
        <is>
          <t>8. Budget &amp; NFP Compliance</t>
        </is>
      </c>
      <c r="C79" s="9" t="inlineStr">
        <is>
          <t>Sub-award / sub-recipient agreements + monitoring documentation</t>
        </is>
      </c>
      <c r="D79" s="8" t="inlineStr">
        <is>
          <t>D</t>
        </is>
      </c>
      <c r="E79" s="9" t="inlineStr">
        <is>
          <t>Grants Mgr</t>
        </is>
      </c>
      <c r="F79" s="13" t="inlineStr">
        <is>
          <t>Medium</t>
        </is>
      </c>
      <c r="G79" s="8" t="inlineStr">
        <is>
          <t>Not Started</t>
        </is>
      </c>
      <c r="H79" s="9" t="inlineStr"/>
      <c r="I79" s="9" t="inlineStr"/>
      <c r="J79" s="9" t="inlineStr"/>
    </row>
    <row r="80">
      <c r="A80" s="11" t="n">
        <v>78</v>
      </c>
      <c r="B80" s="12" t="inlineStr">
        <is>
          <t>8. Budget &amp; NFP Compliance</t>
        </is>
      </c>
      <c r="C80" s="12" t="inlineStr">
        <is>
          <t>Single Audit / Uniform Guidance (2 CFR 200) materials (if federal funds)</t>
        </is>
      </c>
      <c r="D80" s="11" t="inlineStr">
        <is>
          <t>D</t>
        </is>
      </c>
      <c r="E80" s="12" t="inlineStr">
        <is>
          <t>CFO / Grants</t>
        </is>
      </c>
      <c r="F80" s="13" t="inlineStr">
        <is>
          <t>Medium</t>
        </is>
      </c>
      <c r="G80" s="11" t="inlineStr">
        <is>
          <t>Not Started</t>
        </is>
      </c>
      <c r="H80" s="12" t="inlineStr"/>
      <c r="I80" s="12" t="inlineStr"/>
      <c r="J80" s="12" t="inlineStr"/>
    </row>
    <row r="81">
      <c r="A81" s="8" t="n">
        <v>79</v>
      </c>
      <c r="B81" s="9" t="inlineStr">
        <is>
          <t>8. Budget &amp; NFP Compliance</t>
        </is>
      </c>
      <c r="C81" s="9" t="inlineStr">
        <is>
          <t>Most recent IRS Form 990 + 1099 filings/process</t>
        </is>
      </c>
      <c r="D81" s="8" t="inlineStr">
        <is>
          <t>D</t>
        </is>
      </c>
      <c r="E81" s="9" t="inlineStr">
        <is>
          <t>Controller</t>
        </is>
      </c>
      <c r="F81" s="14" t="inlineStr">
        <is>
          <t>Low</t>
        </is>
      </c>
      <c r="G81" s="8" t="inlineStr">
        <is>
          <t>Not Started</t>
        </is>
      </c>
      <c r="H81" s="9" t="inlineStr"/>
      <c r="I81" s="9" t="inlineStr"/>
      <c r="J81" s="9" t="inlineStr"/>
    </row>
    <row r="82">
      <c r="A82" s="11" t="n">
        <v>80</v>
      </c>
      <c r="B82" s="12" t="inlineStr">
        <is>
          <t>8. Budget &amp; NFP Compliance</t>
        </is>
      </c>
      <c r="C82" s="12" t="inlineStr">
        <is>
          <t>Most recent external audit report + management letter</t>
        </is>
      </c>
      <c r="D82" s="11" t="inlineStr">
        <is>
          <t>D</t>
        </is>
      </c>
      <c r="E82" s="12" t="inlineStr">
        <is>
          <t>CFO</t>
        </is>
      </c>
      <c r="F82" s="10" t="inlineStr">
        <is>
          <t>High</t>
        </is>
      </c>
      <c r="G82" s="11" t="inlineStr">
        <is>
          <t>Not Started</t>
        </is>
      </c>
      <c r="H82" s="12" t="inlineStr"/>
      <c r="I82" s="12" t="inlineStr"/>
      <c r="J82" s="12" t="inlineStr"/>
    </row>
    <row r="83">
      <c r="A83" s="8" t="n">
        <v>81</v>
      </c>
      <c r="B83" s="9" t="inlineStr">
        <is>
          <t>8. Budget &amp; NFP Compliance</t>
        </is>
      </c>
      <c r="C83" s="9" t="inlineStr">
        <is>
          <t>Prior internal audit reports, findings, remediation status</t>
        </is>
      </c>
      <c r="D83" s="8" t="inlineStr">
        <is>
          <t>D</t>
        </is>
      </c>
      <c r="E83" s="9" t="inlineStr">
        <is>
          <t>Internal Audit</t>
        </is>
      </c>
      <c r="F83" s="13" t="inlineStr">
        <is>
          <t>Medium</t>
        </is>
      </c>
      <c r="G83" s="8" t="inlineStr">
        <is>
          <t>Not Started</t>
        </is>
      </c>
      <c r="H83" s="9" t="inlineStr"/>
      <c r="I83" s="9" t="inlineStr"/>
      <c r="J83" s="9" t="inlineStr"/>
    </row>
    <row r="84">
      <c r="A84" s="11" t="n">
        <v>82</v>
      </c>
      <c r="B84" s="12" t="inlineStr">
        <is>
          <t>9. Controls, Risk &amp; Prior Issues</t>
        </is>
      </c>
      <c r="C84" s="12" t="inlineStr">
        <is>
          <t>Existing risk assessment or fraud risk assessment</t>
        </is>
      </c>
      <c r="D84" s="11" t="inlineStr">
        <is>
          <t>D</t>
        </is>
      </c>
      <c r="E84" s="12" t="inlineStr">
        <is>
          <t>Controller / Audit</t>
        </is>
      </c>
      <c r="F84" s="10" t="inlineStr">
        <is>
          <t>High</t>
        </is>
      </c>
      <c r="G84" s="11" t="inlineStr">
        <is>
          <t>Not Started</t>
        </is>
      </c>
      <c r="H84" s="12" t="inlineStr"/>
      <c r="I84" s="12" t="inlineStr"/>
      <c r="J84" s="12" t="inlineStr"/>
    </row>
    <row r="85">
      <c r="A85" s="8" t="n">
        <v>83</v>
      </c>
      <c r="B85" s="9" t="inlineStr">
        <is>
          <t>9. Controls, Risk &amp; Prior Issues</t>
        </is>
      </c>
      <c r="C85" s="9" t="inlineStr">
        <is>
          <t>Internal control documentation / control matrix for disbursements</t>
        </is>
      </c>
      <c r="D85" s="8" t="inlineStr">
        <is>
          <t>D</t>
        </is>
      </c>
      <c r="E85" s="9" t="inlineStr">
        <is>
          <t>Controller</t>
        </is>
      </c>
      <c r="F85" s="10" t="inlineStr">
        <is>
          <t>High</t>
        </is>
      </c>
      <c r="G85" s="8" t="inlineStr">
        <is>
          <t>Not Started</t>
        </is>
      </c>
      <c r="H85" s="9" t="inlineStr"/>
      <c r="I85" s="9" t="inlineStr"/>
      <c r="J85" s="9" t="inlineStr"/>
    </row>
    <row r="86">
      <c r="A86" s="11" t="n">
        <v>84</v>
      </c>
      <c r="B86" s="12" t="inlineStr">
        <is>
          <t>9. Controls, Risk &amp; Prior Issues</t>
        </is>
      </c>
      <c r="C86" s="12" t="inlineStr">
        <is>
          <t>Log of known control exceptions, errors, or fraud incidents</t>
        </is>
      </c>
      <c r="D86" s="11" t="inlineStr">
        <is>
          <t>D</t>
        </is>
      </c>
      <c r="E86" s="12" t="inlineStr">
        <is>
          <t>Controller / Audit</t>
        </is>
      </c>
      <c r="F86" s="10" t="inlineStr">
        <is>
          <t>High</t>
        </is>
      </c>
      <c r="G86" s="11" t="inlineStr">
        <is>
          <t>Not Started</t>
        </is>
      </c>
      <c r="H86" s="12" t="inlineStr"/>
      <c r="I86" s="12" t="inlineStr"/>
      <c r="J86" s="12" t="inlineStr"/>
    </row>
    <row r="87">
      <c r="A87" s="8" t="n">
        <v>85</v>
      </c>
      <c r="B87" s="9" t="inlineStr">
        <is>
          <t>9. Controls, Risk &amp; Prior Issues</t>
        </is>
      </c>
      <c r="C87" s="9" t="inlineStr">
        <is>
          <t>Insurance coverage details (crime / fidelity bond)</t>
        </is>
      </c>
      <c r="D87" s="8" t="inlineStr">
        <is>
          <t>D</t>
        </is>
      </c>
      <c r="E87" s="9" t="inlineStr">
        <is>
          <t>CFO / Risk</t>
        </is>
      </c>
      <c r="F87" s="14" t="inlineStr">
        <is>
          <t>Low</t>
        </is>
      </c>
      <c r="G87" s="8" t="inlineStr">
        <is>
          <t>Not Started</t>
        </is>
      </c>
      <c r="H87" s="9" t="inlineStr"/>
      <c r="I87" s="9" t="inlineStr"/>
      <c r="J87" s="9" t="inlineStr"/>
    </row>
    <row r="88">
      <c r="A88" s="11" t="n">
        <v>86</v>
      </c>
      <c r="B88" s="12" t="inlineStr">
        <is>
          <t>9. Controls, Risk &amp; Prior Issues</t>
        </is>
      </c>
      <c r="C88" s="12" t="inlineStr">
        <is>
          <t>Consultant/auditor recommendations (last 2-3 yrs) + status</t>
        </is>
      </c>
      <c r="D88" s="11" t="inlineStr">
        <is>
          <t>D</t>
        </is>
      </c>
      <c r="E88" s="12" t="inlineStr">
        <is>
          <t>CFO</t>
        </is>
      </c>
      <c r="F88" s="13" t="inlineStr">
        <is>
          <t>Medium</t>
        </is>
      </c>
      <c r="G88" s="11" t="inlineStr">
        <is>
          <t>Not Started</t>
        </is>
      </c>
      <c r="H88" s="12" t="inlineStr"/>
      <c r="I88" s="12" t="inlineStr"/>
      <c r="J88" s="12" t="inlineStr"/>
    </row>
    <row r="89">
      <c r="A89" s="8" t="n">
        <v>87</v>
      </c>
      <c r="B89" s="9" t="inlineStr">
        <is>
          <t>10. Supplemental / Logistics</t>
        </is>
      </c>
      <c r="C89" s="9" t="inlineStr">
        <is>
          <t>Calendar of key processing dates (check runs, close, board meetings)</t>
        </is>
      </c>
      <c r="D89" s="8" t="inlineStr">
        <is>
          <t>O</t>
        </is>
      </c>
      <c r="E89" s="9" t="inlineStr">
        <is>
          <t>Controller</t>
        </is>
      </c>
      <c r="F89" s="13" t="inlineStr">
        <is>
          <t>Medium</t>
        </is>
      </c>
      <c r="G89" s="8" t="inlineStr">
        <is>
          <t>Not Started</t>
        </is>
      </c>
      <c r="H89" s="9" t="inlineStr"/>
      <c r="I89" s="9" t="inlineStr"/>
      <c r="J89" s="9" t="inlineStr"/>
    </row>
    <row r="90">
      <c r="A90" s="11" t="n">
        <v>88</v>
      </c>
      <c r="B90" s="12" t="inlineStr">
        <is>
          <t>10. Supplemental / Logistics</t>
        </is>
      </c>
      <c r="C90" s="12" t="inlineStr">
        <is>
          <t>Read-only system access or guided screen-shares for ERP &amp; banking</t>
        </is>
      </c>
      <c r="D90" s="11" t="inlineStr">
        <is>
          <t>S</t>
        </is>
      </c>
      <c r="E90" s="12" t="inlineStr">
        <is>
          <t>IT / Controller</t>
        </is>
      </c>
      <c r="F90" s="10" t="inlineStr">
        <is>
          <t>High</t>
        </is>
      </c>
      <c r="G90" s="11" t="inlineStr">
        <is>
          <t>Not Started</t>
        </is>
      </c>
      <c r="H90" s="12" t="inlineStr"/>
      <c r="I90" s="12" t="inlineStr"/>
      <c r="J90" s="12" t="inlineStr"/>
    </row>
    <row r="91">
      <c r="A91" s="8" t="n">
        <v>89</v>
      </c>
      <c r="B91" s="9" t="inlineStr">
        <is>
          <t>10. Supplemental / Logistics</t>
        </is>
      </c>
      <c r="C91" s="9" t="inlineStr">
        <is>
          <t>Single point of contact in finance to triage requests</t>
        </is>
      </c>
      <c r="D91" s="8" t="inlineStr">
        <is>
          <t>O</t>
        </is>
      </c>
      <c r="E91" s="9" t="inlineStr">
        <is>
          <t>Project Sponsor</t>
        </is>
      </c>
      <c r="F91" s="10" t="inlineStr">
        <is>
          <t>High</t>
        </is>
      </c>
      <c r="G91" s="8" t="inlineStr">
        <is>
          <t>Not Started</t>
        </is>
      </c>
      <c r="H91" s="9" t="inlineStr"/>
      <c r="I91" s="9" t="inlineStr"/>
      <c r="J91" s="9" t="inlineStr"/>
    </row>
  </sheetData>
  <autoFilter ref="A2:J91"/>
  <mergeCells count="1">
    <mergeCell ref="A1:J1"/>
  </mergeCells>
  <dataValidations count="2">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0" allowBlank="1" type="list">
      <formula1>"Not Started,Requested,Received,Partial,N/A"</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8"/>
  <sheetViews>
    <sheetView showGridLines="0" workbookViewId="0">
      <selection activeCell="A1" sqref="A1"/>
    </sheetView>
  </sheetViews>
  <sheetFormatPr baseColWidth="8" defaultRowHeight="15"/>
  <cols>
    <col width="2" customWidth="1" min="1" max="1"/>
    <col width="26" customWidth="1" min="2" max="2"/>
    <col width="12" customWidth="1" min="3" max="3"/>
  </cols>
  <sheetData>
    <row r="2">
      <c r="B2" s="15" t="inlineStr">
        <is>
          <t>Request Status Summary</t>
        </is>
      </c>
    </row>
    <row r="4">
      <c r="B4" s="16" t="inlineStr">
        <is>
          <t>By Status</t>
        </is>
      </c>
    </row>
    <row r="5">
      <c r="B5" t="inlineStr">
        <is>
          <t>Not Started</t>
        </is>
      </c>
      <c r="C5">
        <f>COUNTIF('Request Tracker'!$G$3:$G$91,"Not Started")</f>
        <v/>
      </c>
    </row>
    <row r="6">
      <c r="B6" t="inlineStr">
        <is>
          <t>Requested</t>
        </is>
      </c>
      <c r="C6">
        <f>COUNTIF('Request Tracker'!$G$3:$G$91,"Requested")</f>
        <v/>
      </c>
    </row>
    <row r="7">
      <c r="B7" t="inlineStr">
        <is>
          <t>Received</t>
        </is>
      </c>
      <c r="C7">
        <f>COUNTIF('Request Tracker'!$G$3:$G$91,"Received")</f>
        <v/>
      </c>
    </row>
    <row r="8">
      <c r="B8" t="inlineStr">
        <is>
          <t>Partial</t>
        </is>
      </c>
      <c r="C8">
        <f>COUNTIF('Request Tracker'!$G$3:$G$91,"Partial")</f>
        <v/>
      </c>
    </row>
    <row r="9">
      <c r="B9" t="inlineStr">
        <is>
          <t>N/A</t>
        </is>
      </c>
      <c r="C9">
        <f>COUNTIF('Request Tracker'!$G$3:$G$91,"N/A")</f>
        <v/>
      </c>
    </row>
    <row r="10">
      <c r="B10" s="17" t="inlineStr">
        <is>
          <t>Total</t>
        </is>
      </c>
      <c r="C10" s="17">
        <f>COUNTA('Request Tracker'!$G$3:$G$91)</f>
        <v/>
      </c>
    </row>
    <row r="12">
      <c r="B12" s="16" t="inlineStr">
        <is>
          <t>By Priority</t>
        </is>
      </c>
    </row>
    <row r="13">
      <c r="B13" t="inlineStr">
        <is>
          <t>High</t>
        </is>
      </c>
      <c r="C13" s="18">
        <f>COUNTIF('Request Tracker'!$F$3:$F$91,"High")</f>
        <v/>
      </c>
    </row>
    <row r="14">
      <c r="B14" t="inlineStr">
        <is>
          <t>Medium</t>
        </is>
      </c>
      <c r="C14" s="19">
        <f>COUNTIF('Request Tracker'!$F$3:$F$91,"Medium")</f>
        <v/>
      </c>
    </row>
    <row r="15">
      <c r="B15" t="inlineStr">
        <is>
          <t>Low</t>
        </is>
      </c>
      <c r="C15" s="20">
        <f>COUNTIF('Request Tracker'!$F$3:$F$91,"Low")</f>
        <v/>
      </c>
    </row>
    <row r="18">
      <c r="B18" s="16" t="inlineStr">
        <is>
          <t>% Complete (Received)</t>
        </is>
      </c>
      <c r="C18" s="21">
        <f>IF(COUNTA('Request Tracker'!$G$3:$G$91)=0,0,COUNTIF('Request Tracker'!$G$3:$G$91,"Received")/COUNTA('Request Tracker'!$G$3:$G$91))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2026-06-11T01:42:04Z</dcterms:created>
  <dcterms:modified xsi:type="dcterms:W3CDTF">2026-06-11T01:42:04Z</dcterms:modified>
</cp:coreProperties>
</file>